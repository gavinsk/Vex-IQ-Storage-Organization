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ins" sheetId="1" state="visible" r:id="rId1"/>
    <sheet name="Parts" sheetId="2" state="visible" r:id="rId2"/>
    <sheet name="How to use" sheetId="3" state="visible" r:id="rId3"/>
  </sheets>
  <definedNames>
    <definedName name="_xlnm._FilterDatabase" localSheetId="0" hidden="1">'Bins'!$A$1:$H$179</definedName>
    <definedName name="_xlnm._FilterDatabase" localSheetId="1" hidden="1">'Parts'!$A$1:$E$163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sz val="14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8F0FA"/>
      </patternFill>
    </fill>
    <fill>
      <patternFill patternType="solid">
        <fgColor rgb="00EAF6EA"/>
      </patternFill>
    </fill>
    <fill>
      <patternFill patternType="solid">
        <fgColor rgb="00FFF4E0"/>
      </patternFill>
    </fill>
    <fill>
      <patternFill patternType="solid">
        <f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0" fontId="0" fillId="3" borderId="0" pivotButton="0" quotePrefix="0" xfId="0"/>
    <xf numFmtId="0" fontId="2" fillId="4" borderId="0" pivotButton="0" quotePrefix="0" xfId="0"/>
    <xf numFmtId="0" fontId="0" fillId="4" borderId="0" pivotButton="0" quotePrefix="0" xfId="0"/>
    <xf numFmtId="0" fontId="2" fillId="5" borderId="0" pivotButton="0" quotePrefix="0" xfId="0"/>
    <xf numFmtId="0" fontId="0" fillId="5" borderId="0" pivotButton="0" quotePrefix="0" xfId="0"/>
    <xf numFmtId="0" fontId="2" fillId="6" borderId="0" pivotButton="0" quotePrefix="0" xfId="0"/>
    <xf numFmtId="0" fontId="0" fillId="6" borderId="0" pivotButton="0" quotePrefix="0" xfId="0"/>
    <xf numFmtId="0" fontId="0" fillId="0" borderId="0" applyAlignment="1" pivotButton="0" quotePrefix="0" xfId="0">
      <alignment horizontal="center"/>
    </xf>
    <xf numFmtId="0" fontId="3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FE2F3"/>
        </patternFill>
      </fill>
    </dxf>
    <dxf>
      <fill>
        <patternFill patternType="solid">
          <fgColor rgb="00FF999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9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8" customWidth="1" min="2" max="2"/>
    <col width="34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>
      <c r="A1" s="1" t="inlineStr">
        <is>
          <t>Bin</t>
        </is>
      </c>
      <c r="B1" s="1" t="inlineStr">
        <is>
          <t>Zone</t>
        </is>
      </c>
      <c r="C1" s="1" t="inlineStr">
        <is>
          <t>Bin Label</t>
        </is>
      </c>
      <c r="D1" s="1" t="inlineStr">
        <is>
          <t>Part 1</t>
        </is>
      </c>
      <c r="E1" s="1" t="inlineStr">
        <is>
          <t>Part 2</t>
        </is>
      </c>
      <c r="F1" s="1" t="inlineStr">
        <is>
          <t>Part 3</t>
        </is>
      </c>
      <c r="G1" s="1" t="inlineStr">
        <is>
          <t>Part 4</t>
        </is>
      </c>
      <c r="H1" s="1" t="inlineStr">
        <is>
          <t>Part 5</t>
        </is>
      </c>
    </row>
    <row r="2">
      <c r="A2" s="2" t="inlineStr">
        <is>
          <t>A1-1</t>
        </is>
      </c>
      <c r="B2" s="3" t="inlineStr">
        <is>
          <t>Cart A – Small</t>
        </is>
      </c>
      <c r="C2" t="inlineStr">
        <is>
          <t>1x1 Corner / 2x Wide 1x1 Offset</t>
        </is>
      </c>
      <c r="D2" t="inlineStr">
        <is>
          <t>1x Wide, 1x1 Corner Connector</t>
        </is>
      </c>
      <c r="E2" t="inlineStr">
        <is>
          <t>2x Wide, 1x1 Offset Corner Connector</t>
        </is>
      </c>
    </row>
    <row r="3">
      <c r="A3" s="2" t="inlineStr">
        <is>
          <t>A1-2</t>
        </is>
      </c>
      <c r="B3" s="3" t="inlineStr">
        <is>
          <t>Cart A – Small</t>
        </is>
      </c>
      <c r="C3" t="inlineStr">
        <is>
          <t>1x Wide, 1x1 Offset Corner</t>
        </is>
      </c>
      <c r="D3" t="inlineStr">
        <is>
          <t>1x Wide, 1x1 Offset Corner Connector</t>
        </is>
      </c>
    </row>
    <row r="4">
      <c r="A4" s="2" t="inlineStr">
        <is>
          <t>A1-3</t>
        </is>
      </c>
      <c r="B4" s="3" t="inlineStr">
        <is>
          <t>Cart A – Small</t>
        </is>
      </c>
      <c r="C4" t="inlineStr">
        <is>
          <t>2x1 Corner / 2x1 Offset</t>
        </is>
      </c>
      <c r="D4" t="inlineStr">
        <is>
          <t>2x Wide, 2x1 Corner Connector</t>
        </is>
      </c>
      <c r="E4" t="inlineStr">
        <is>
          <t>2x Wide, 2x1 Offset Corner Connector</t>
        </is>
      </c>
    </row>
    <row r="5">
      <c r="A5" s="2" t="inlineStr">
        <is>
          <t>A1-4</t>
        </is>
      </c>
      <c r="B5" s="3" t="inlineStr">
        <is>
          <t>Cart A – Small</t>
        </is>
      </c>
      <c r="C5" t="inlineStr">
        <is>
          <t>2x Wide, 1x2 Corner</t>
        </is>
      </c>
      <c r="D5" t="inlineStr">
        <is>
          <t>2x Wide, 1x2 Corner Connector</t>
        </is>
      </c>
    </row>
    <row r="6">
      <c r="A6" s="2" t="inlineStr">
        <is>
          <t>A1-5</t>
        </is>
      </c>
      <c r="B6" s="3" t="inlineStr">
        <is>
          <t>Cart A – Small</t>
        </is>
      </c>
      <c r="C6" t="inlineStr">
        <is>
          <t>2x Wide, 1x2 Offset Corner</t>
        </is>
      </c>
      <c r="D6" t="inlineStr">
        <is>
          <t>2x Wide, 1x2 Offset Corner Connector</t>
        </is>
      </c>
    </row>
    <row r="7">
      <c r="A7" s="2" t="inlineStr">
        <is>
          <t>A1-6</t>
        </is>
      </c>
      <c r="B7" s="3" t="inlineStr">
        <is>
          <t>Cart A – Small</t>
        </is>
      </c>
      <c r="C7" t="inlineStr">
        <is>
          <t>60° Omni 1x2 Corner</t>
        </is>
      </c>
      <c r="D7" t="inlineStr">
        <is>
          <t>2x Wide, 60 Degree Omni 1x2 Corner Connector</t>
        </is>
      </c>
    </row>
    <row r="8">
      <c r="A8" s="2" t="inlineStr">
        <is>
          <t>A1-7</t>
        </is>
      </c>
      <c r="B8" s="3" t="inlineStr">
        <is>
          <t>Cart A – Small</t>
        </is>
      </c>
      <c r="C8" t="inlineStr">
        <is>
          <t>Small Chassis Corner Connector</t>
        </is>
      </c>
      <c r="D8" t="inlineStr">
        <is>
          <t>Small Chassis Corner Connector</t>
        </is>
      </c>
    </row>
    <row r="9">
      <c r="A9" s="2" t="inlineStr">
        <is>
          <t>A1-8</t>
        </is>
      </c>
      <c r="B9" s="3" t="inlineStr">
        <is>
          <t>Cart A – Small</t>
        </is>
      </c>
      <c r="C9" t="inlineStr">
        <is>
          <t>Large Chassis Corner Connector</t>
        </is>
      </c>
      <c r="D9" t="inlineStr">
        <is>
          <t>Large Chassis Corner Connector</t>
        </is>
      </c>
    </row>
    <row r="10">
      <c r="A10" s="2" t="inlineStr">
        <is>
          <t>A2-1</t>
        </is>
      </c>
      <c r="B10" s="3" t="inlineStr">
        <is>
          <t>Cart A – Small</t>
        </is>
      </c>
      <c r="C10" t="inlineStr">
        <is>
          <t>2x Wide, 2x2 Corner</t>
        </is>
      </c>
      <c r="D10" t="inlineStr">
        <is>
          <t>2x Wide, 2x2 Corner Connector</t>
        </is>
      </c>
    </row>
    <row r="11">
      <c r="A11" s="2" t="inlineStr">
        <is>
          <t>A2-2</t>
        </is>
      </c>
      <c r="B11" s="3" t="inlineStr">
        <is>
          <t>Cart A – Small</t>
        </is>
      </c>
      <c r="C11" t="inlineStr">
        <is>
          <t>2x Wide, 2x2 Corner</t>
        </is>
      </c>
      <c r="D11" t="inlineStr">
        <is>
          <t>2x Wide, 2x2 Corner Connector</t>
        </is>
      </c>
    </row>
    <row r="12">
      <c r="A12" s="2" t="inlineStr">
        <is>
          <t>A2-3</t>
        </is>
      </c>
      <c r="B12" s="3" t="inlineStr">
        <is>
          <t>Cart A – Small</t>
        </is>
      </c>
      <c r="C12" t="inlineStr">
        <is>
          <t>2x Wide, 2x2 Offset Corner</t>
        </is>
      </c>
      <c r="D12" t="inlineStr">
        <is>
          <t>2x Wide, 2x2 Offset Corner Connector</t>
        </is>
      </c>
    </row>
    <row r="13">
      <c r="A13" s="2" t="inlineStr">
        <is>
          <t>A2-4</t>
        </is>
      </c>
      <c r="B13" s="3" t="inlineStr">
        <is>
          <t>Cart A – Small</t>
        </is>
      </c>
      <c r="C13" t="inlineStr">
        <is>
          <t>2x Wide, 3x2 Corner</t>
        </is>
      </c>
      <c r="D13" t="inlineStr">
        <is>
          <t>2x Wide, 3x2 Corner Connector</t>
        </is>
      </c>
    </row>
    <row r="14">
      <c r="A14" s="2" t="inlineStr">
        <is>
          <t>A2-5</t>
        </is>
      </c>
      <c r="B14" s="3" t="inlineStr">
        <is>
          <t>Cart A – Small</t>
        </is>
      </c>
      <c r="C14" t="inlineStr">
        <is>
          <t>Double 1x2 / Double 2x2 Corner</t>
        </is>
      </c>
      <c r="D14" t="inlineStr">
        <is>
          <t>Double 2x Wide, 1x2 Corner Connector</t>
        </is>
      </c>
      <c r="E14" t="inlineStr">
        <is>
          <t>Double 2x Wide, 2x2 Corner Connector</t>
        </is>
      </c>
    </row>
    <row r="15">
      <c r="A15" s="2" t="inlineStr">
        <is>
          <t>A2-6</t>
        </is>
      </c>
      <c r="B15" s="3" t="inlineStr">
        <is>
          <t>Cart A – Small</t>
        </is>
      </c>
      <c r="C15" t="inlineStr">
        <is>
          <t>Double 2x2 Double Offset Corner</t>
        </is>
      </c>
      <c r="D15" t="inlineStr">
        <is>
          <t>Double 2x Wide, 2x2 Double Offset Corner Connector</t>
        </is>
      </c>
    </row>
    <row r="16">
      <c r="A16" s="2" t="inlineStr">
        <is>
          <t>A2-7</t>
        </is>
      </c>
      <c r="B16" s="3" t="inlineStr">
        <is>
          <t>Cart A – Small</t>
        </is>
      </c>
      <c r="C16" t="inlineStr">
        <is>
          <t>Triple 2x2 Corner</t>
        </is>
      </c>
      <c r="D16" t="inlineStr">
        <is>
          <t>Triple 2x Wide, 2x2 Corner Connector</t>
        </is>
      </c>
    </row>
    <row r="17">
      <c r="A17" s="2" t="inlineStr">
        <is>
          <t>A2-8</t>
        </is>
      </c>
      <c r="B17" s="3" t="inlineStr">
        <is>
          <t>Cart A – Small</t>
        </is>
      </c>
      <c r="C17" t="inlineStr">
        <is>
          <t>Triple 2x2 Corner</t>
        </is>
      </c>
      <c r="D17" t="inlineStr">
        <is>
          <t>Triple 2x Wide, 2x2 Corner Connector</t>
        </is>
      </c>
    </row>
    <row r="18">
      <c r="A18" s="2" t="inlineStr">
        <is>
          <t>A3-1</t>
        </is>
      </c>
      <c r="B18" s="3" t="inlineStr">
        <is>
          <t>Cart A – Small</t>
        </is>
      </c>
      <c r="C18" t="inlineStr">
        <is>
          <t>1x1 Beam + 1x3 Beam</t>
        </is>
      </c>
      <c r="D18" t="inlineStr">
        <is>
          <t>1x1 Beam</t>
        </is>
      </c>
      <c r="E18" t="inlineStr">
        <is>
          <t>1x3 Beam</t>
        </is>
      </c>
    </row>
    <row r="19">
      <c r="A19" s="2" t="inlineStr">
        <is>
          <t>A3-2</t>
        </is>
      </c>
      <c r="B19" s="3" t="inlineStr">
        <is>
          <t>Cart A – Small</t>
        </is>
      </c>
      <c r="C19" t="inlineStr">
        <is>
          <t>1x2 Beam + 1x5 Beam</t>
        </is>
      </c>
      <c r="D19" t="inlineStr">
        <is>
          <t>1x2 Beam</t>
        </is>
      </c>
      <c r="E19" t="inlineStr">
        <is>
          <t>1x5 Beam</t>
        </is>
      </c>
    </row>
    <row r="20">
      <c r="A20" s="2" t="inlineStr">
        <is>
          <t>A3-3</t>
        </is>
      </c>
      <c r="B20" s="3" t="inlineStr">
        <is>
          <t>Cart A – Small</t>
        </is>
      </c>
      <c r="C20" t="inlineStr">
        <is>
          <t>1x4 Beam</t>
        </is>
      </c>
      <c r="D20" t="inlineStr">
        <is>
          <t>1x4 Beam</t>
        </is>
      </c>
    </row>
    <row r="21">
      <c r="A21" s="2" t="inlineStr">
        <is>
          <t>A3-4</t>
        </is>
      </c>
      <c r="B21" s="3" t="inlineStr">
        <is>
          <t>Cart A – Small</t>
        </is>
      </c>
      <c r="C21" t="inlineStr">
        <is>
          <t>1x6 Beam</t>
        </is>
      </c>
      <c r="D21" t="inlineStr">
        <is>
          <t>1x6 Beam</t>
        </is>
      </c>
    </row>
    <row r="22">
      <c r="A22" s="2" t="inlineStr">
        <is>
          <t>A3-5</t>
        </is>
      </c>
      <c r="B22" s="3" t="inlineStr">
        <is>
          <t>Cart A – Small</t>
        </is>
      </c>
      <c r="C22" t="inlineStr">
        <is>
          <t>1x8 Beam</t>
        </is>
      </c>
      <c r="D22" t="inlineStr">
        <is>
          <t>1x8 Beam</t>
        </is>
      </c>
    </row>
    <row r="23">
      <c r="A23" s="2" t="inlineStr">
        <is>
          <t>A3-6</t>
        </is>
      </c>
      <c r="B23" s="3" t="inlineStr">
        <is>
          <t>Cart A – Small</t>
        </is>
      </c>
      <c r="C23" t="inlineStr">
        <is>
          <t>1x8 Beam</t>
        </is>
      </c>
      <c r="D23" t="inlineStr">
        <is>
          <t>1x8 Beam</t>
        </is>
      </c>
    </row>
    <row r="24">
      <c r="A24" s="2" t="inlineStr">
        <is>
          <t>A3-7</t>
        </is>
      </c>
      <c r="B24" s="3" t="inlineStr">
        <is>
          <t>Cart A – Small</t>
        </is>
      </c>
      <c r="C24" t="inlineStr">
        <is>
          <t>1x10 Beam</t>
        </is>
      </c>
      <c r="D24" t="inlineStr">
        <is>
          <t>1x10 Beam</t>
        </is>
      </c>
    </row>
    <row r="25">
      <c r="A25" s="2" t="inlineStr">
        <is>
          <t>A3-8</t>
        </is>
      </c>
      <c r="B25" s="3" t="inlineStr">
        <is>
          <t>Cart A – Small</t>
        </is>
      </c>
      <c r="C25" t="inlineStr">
        <is>
          <t>1x10 Beam</t>
        </is>
      </c>
      <c r="D25" t="inlineStr">
        <is>
          <t>1x10 Beam</t>
        </is>
      </c>
    </row>
    <row r="26">
      <c r="A26" s="2" t="inlineStr">
        <is>
          <t>A4-1</t>
        </is>
      </c>
      <c r="B26" s="3" t="inlineStr">
        <is>
          <t>Cart A – Small</t>
        </is>
      </c>
      <c r="C26" t="inlineStr">
        <is>
          <t>2x2 Beam</t>
        </is>
      </c>
      <c r="D26" t="inlineStr">
        <is>
          <t>2x2 Beam</t>
        </is>
      </c>
    </row>
    <row r="27">
      <c r="A27" s="2" t="inlineStr">
        <is>
          <t>A4-2</t>
        </is>
      </c>
      <c r="B27" s="3" t="inlineStr">
        <is>
          <t>Cart A – Small</t>
        </is>
      </c>
      <c r="C27" t="inlineStr">
        <is>
          <t>2x4 Beam</t>
        </is>
      </c>
      <c r="D27" t="inlineStr">
        <is>
          <t>2x4 Beam</t>
        </is>
      </c>
    </row>
    <row r="28">
      <c r="A28" s="2" t="inlineStr">
        <is>
          <t>A4-3</t>
        </is>
      </c>
      <c r="B28" s="3" t="inlineStr">
        <is>
          <t>Cart A – Small</t>
        </is>
      </c>
      <c r="C28" t="inlineStr">
        <is>
          <t>2x4 Beam</t>
        </is>
      </c>
      <c r="D28" t="inlineStr">
        <is>
          <t>2x4 Beam</t>
        </is>
      </c>
    </row>
    <row r="29">
      <c r="A29" s="2" t="inlineStr">
        <is>
          <t>A4-4</t>
        </is>
      </c>
      <c r="B29" s="3" t="inlineStr">
        <is>
          <t>Cart A – Small</t>
        </is>
      </c>
      <c r="C29" t="inlineStr">
        <is>
          <t>2x6 Beam</t>
        </is>
      </c>
      <c r="D29" t="inlineStr">
        <is>
          <t>2x6 Beam</t>
        </is>
      </c>
    </row>
    <row r="30">
      <c r="A30" s="2" t="inlineStr">
        <is>
          <t>A4-5</t>
        </is>
      </c>
      <c r="B30" s="3" t="inlineStr">
        <is>
          <t>Cart A – Small</t>
        </is>
      </c>
      <c r="C30" t="inlineStr">
        <is>
          <t>2x6 Beam</t>
        </is>
      </c>
      <c r="D30" t="inlineStr">
        <is>
          <t>2x6 Beam</t>
        </is>
      </c>
    </row>
    <row r="31">
      <c r="A31" s="2" t="inlineStr">
        <is>
          <t>A4-6</t>
        </is>
      </c>
      <c r="B31" s="3" t="inlineStr">
        <is>
          <t>Cart A – Small</t>
        </is>
      </c>
      <c r="C31" t="inlineStr">
        <is>
          <t>2x7 Beam</t>
        </is>
      </c>
      <c r="D31" t="inlineStr">
        <is>
          <t>2x7 Beam</t>
        </is>
      </c>
    </row>
    <row r="32">
      <c r="A32" s="2" t="inlineStr">
        <is>
          <t>A4-7</t>
        </is>
      </c>
      <c r="B32" s="3" t="inlineStr">
        <is>
          <t>Cart A – Small</t>
        </is>
      </c>
      <c r="C32" t="inlineStr">
        <is>
          <t>2x8 Beam</t>
        </is>
      </c>
      <c r="D32" t="inlineStr">
        <is>
          <t>2x8 Beam</t>
        </is>
      </c>
    </row>
    <row r="33">
      <c r="A33" s="2" t="inlineStr">
        <is>
          <t>A4-8</t>
        </is>
      </c>
      <c r="B33" s="3" t="inlineStr">
        <is>
          <t>Cart A – Small</t>
        </is>
      </c>
      <c r="C33" t="inlineStr">
        <is>
          <t>2x8 Beam</t>
        </is>
      </c>
      <c r="D33" t="inlineStr">
        <is>
          <t>2x8 Beam</t>
        </is>
      </c>
    </row>
    <row r="34">
      <c r="A34" s="2" t="inlineStr">
        <is>
          <t>A5-1</t>
        </is>
      </c>
      <c r="B34" s="3" t="inlineStr">
        <is>
          <t>Cart A – Medium</t>
        </is>
      </c>
      <c r="C34" t="inlineStr">
        <is>
          <t>2x10 Beam</t>
        </is>
      </c>
      <c r="D34" t="inlineStr">
        <is>
          <t>2x10 Beam</t>
        </is>
      </c>
    </row>
    <row r="35">
      <c r="A35" s="2" t="inlineStr">
        <is>
          <t>A5-2</t>
        </is>
      </c>
      <c r="B35" s="3" t="inlineStr">
        <is>
          <t>Cart A – Medium</t>
        </is>
      </c>
      <c r="C35" t="inlineStr">
        <is>
          <t>12-pitch beams: 1x12 + 2x12</t>
        </is>
      </c>
      <c r="D35" t="inlineStr">
        <is>
          <t>1x12 Beam</t>
        </is>
      </c>
      <c r="E35" t="inlineStr">
        <is>
          <t>2x12 Beam</t>
        </is>
      </c>
    </row>
    <row r="36">
      <c r="A36" s="2" t="inlineStr">
        <is>
          <t>A5-3</t>
        </is>
      </c>
      <c r="B36" s="3" t="inlineStr">
        <is>
          <t>Cart A – Medium</t>
        </is>
      </c>
      <c r="C36" t="inlineStr">
        <is>
          <t>16-pitch beams: 1x16 + 2x16</t>
        </is>
      </c>
      <c r="D36" t="inlineStr">
        <is>
          <t>1x16 Beam</t>
        </is>
      </c>
      <c r="E36" t="inlineStr">
        <is>
          <t>2x16 Beam</t>
        </is>
      </c>
    </row>
    <row r="37">
      <c r="A37" s="2" t="inlineStr">
        <is>
          <t>A5-4</t>
        </is>
      </c>
      <c r="B37" s="3" t="inlineStr">
        <is>
          <t>Cart A – Medium</t>
        </is>
      </c>
      <c r="C37" t="inlineStr">
        <is>
          <t>2x18 Beam</t>
        </is>
      </c>
      <c r="D37" t="inlineStr">
        <is>
          <t>2x18 Beam</t>
        </is>
      </c>
    </row>
    <row r="38">
      <c r="A38" s="2" t="inlineStr">
        <is>
          <t>A5-5</t>
        </is>
      </c>
      <c r="B38" s="3" t="inlineStr">
        <is>
          <t>Cart A – Medium</t>
        </is>
      </c>
      <c r="C38" t="inlineStr">
        <is>
          <t>2x20 Beam</t>
        </is>
      </c>
      <c r="D38" t="inlineStr">
        <is>
          <t>2x20 Beam</t>
        </is>
      </c>
    </row>
    <row r="39">
      <c r="A39" s="2" t="inlineStr">
        <is>
          <t>A6-1</t>
        </is>
      </c>
      <c r="B39" s="3" t="inlineStr">
        <is>
          <t>Cart A – Medium</t>
        </is>
      </c>
      <c r="C39" t="inlineStr">
        <is>
          <t>Square Plates: 3x3 + 4x4</t>
        </is>
      </c>
      <c r="D39" t="inlineStr">
        <is>
          <t>3x3 Plate</t>
        </is>
      </c>
      <c r="E39" t="inlineStr">
        <is>
          <t>4x4 Plate</t>
        </is>
      </c>
    </row>
    <row r="40">
      <c r="A40" s="2" t="inlineStr">
        <is>
          <t>A6-2</t>
        </is>
      </c>
      <c r="B40" s="3" t="inlineStr">
        <is>
          <t>Cart A – Medium</t>
        </is>
      </c>
      <c r="C40" t="inlineStr">
        <is>
          <t>2x8 Smooth Panel + Pin Tool</t>
        </is>
      </c>
      <c r="D40" t="inlineStr">
        <is>
          <t>2x8 Smooth Panel</t>
        </is>
      </c>
      <c r="E40" t="inlineStr">
        <is>
          <t>Pin Tool</t>
        </is>
      </c>
    </row>
    <row r="41">
      <c r="A41" s="2" t="inlineStr">
        <is>
          <t>A6-3</t>
        </is>
      </c>
      <c r="B41" s="3" t="inlineStr">
        <is>
          <t>Cart A – Medium</t>
        </is>
      </c>
      <c r="C41" t="inlineStr"/>
    </row>
    <row r="42">
      <c r="A42" s="2" t="inlineStr">
        <is>
          <t>A6-4</t>
        </is>
      </c>
      <c r="B42" s="3" t="inlineStr">
        <is>
          <t>Cart A – Medium</t>
        </is>
      </c>
      <c r="C42" t="inlineStr"/>
    </row>
    <row r="43">
      <c r="A43" s="2" t="inlineStr">
        <is>
          <t>A6-5</t>
        </is>
      </c>
      <c r="B43" s="3" t="inlineStr">
        <is>
          <t>Cart A – Medium</t>
        </is>
      </c>
      <c r="C43" t="inlineStr">
        <is>
          <t>Angle Beams: 30° / 45° / 60°</t>
        </is>
      </c>
      <c r="D43" t="inlineStr">
        <is>
          <t>3x3 30 Degree Angle Beam</t>
        </is>
      </c>
      <c r="E43" t="inlineStr">
        <is>
          <t>3x3 45 Degree Angle Beam</t>
        </is>
      </c>
      <c r="F43" t="inlineStr">
        <is>
          <t>3x3 60 Degree Angle Beam</t>
        </is>
      </c>
    </row>
    <row r="44">
      <c r="A44" s="2" t="inlineStr">
        <is>
          <t>A7-1</t>
        </is>
      </c>
      <c r="B44" s="3" t="inlineStr">
        <is>
          <t>Cart A – Medium</t>
        </is>
      </c>
      <c r="C44" t="inlineStr">
        <is>
          <t>Long Plates: 4x8 + 4x12</t>
        </is>
      </c>
      <c r="D44" t="inlineStr">
        <is>
          <t>4x12 Plate</t>
        </is>
      </c>
      <c r="E44" t="inlineStr">
        <is>
          <t>4x8 Plate</t>
        </is>
      </c>
    </row>
    <row r="45">
      <c r="A45" s="2" t="inlineStr">
        <is>
          <t>A7-2</t>
        </is>
      </c>
      <c r="B45" s="3" t="inlineStr">
        <is>
          <t>Cart A – Medium</t>
        </is>
      </c>
      <c r="C45" t="inlineStr">
        <is>
          <t>3x4 Tee Beam + Plus Gusset</t>
        </is>
      </c>
      <c r="D45" t="inlineStr">
        <is>
          <t>3x4 Tee Beam</t>
        </is>
      </c>
      <c r="E45" t="inlineStr">
        <is>
          <t>3x3 Plus Gusset Beam</t>
        </is>
      </c>
    </row>
    <row r="46">
      <c r="A46" s="2" t="inlineStr">
        <is>
          <t>A7-3</t>
        </is>
      </c>
      <c r="B46" s="3" t="inlineStr">
        <is>
          <t>Cart A – Medium</t>
        </is>
      </c>
      <c r="C46" t="inlineStr">
        <is>
          <t>3x5 Right Angle Beam</t>
        </is>
      </c>
      <c r="D46" t="inlineStr">
        <is>
          <t>3x5 Right Angle Beam</t>
        </is>
      </c>
    </row>
    <row r="47">
      <c r="A47" s="2" t="inlineStr">
        <is>
          <t>A7-4</t>
        </is>
      </c>
      <c r="B47" s="3" t="inlineStr">
        <is>
          <t>Cart A – Medium</t>
        </is>
      </c>
      <c r="C47" t="inlineStr">
        <is>
          <t>4x4 Offset Right Angle Beam</t>
        </is>
      </c>
      <c r="D47" t="inlineStr">
        <is>
          <t>4x4 Offset Right Angle Beam</t>
        </is>
      </c>
    </row>
    <row r="48">
      <c r="A48" s="2" t="inlineStr">
        <is>
          <t>A7-5</t>
        </is>
      </c>
      <c r="B48" s="3" t="inlineStr">
        <is>
          <t>Cart A – Medium</t>
        </is>
      </c>
      <c r="C48" t="inlineStr">
        <is>
          <t>2x3 Right Angle Beam</t>
        </is>
      </c>
      <c r="D48" t="inlineStr">
        <is>
          <t>2x3 Right Angle Beam</t>
        </is>
      </c>
    </row>
    <row r="49">
      <c r="A49" s="4" t="inlineStr">
        <is>
          <t>B1-1</t>
        </is>
      </c>
      <c r="B49" s="5" t="inlineStr">
        <is>
          <t>Cart B – Small</t>
        </is>
      </c>
      <c r="C49" t="inlineStr">
        <is>
          <t>12T Gear</t>
        </is>
      </c>
      <c r="D49" t="inlineStr">
        <is>
          <t>12 Tooth Gear</t>
        </is>
      </c>
    </row>
    <row r="50">
      <c r="A50" s="4" t="inlineStr">
        <is>
          <t>B1-2</t>
        </is>
      </c>
      <c r="B50" s="5" t="inlineStr">
        <is>
          <t>Cart B – Small</t>
        </is>
      </c>
      <c r="C50" t="inlineStr">
        <is>
          <t>24T Gear</t>
        </is>
      </c>
      <c r="D50" t="inlineStr">
        <is>
          <t>24 Tooth Gear</t>
        </is>
      </c>
    </row>
    <row r="51">
      <c r="A51" s="4" t="inlineStr">
        <is>
          <t>B1-3</t>
        </is>
      </c>
      <c r="B51" s="5" t="inlineStr">
        <is>
          <t>Cart B – Small</t>
        </is>
      </c>
      <c r="C51" t="inlineStr">
        <is>
          <t>36T Gear</t>
        </is>
      </c>
      <c r="D51" t="inlineStr">
        <is>
          <t>36 Tooth Gear</t>
        </is>
      </c>
    </row>
    <row r="52">
      <c r="A52" s="4" t="inlineStr">
        <is>
          <t>B1-4</t>
        </is>
      </c>
      <c r="B52" s="5" t="inlineStr">
        <is>
          <t>Cart B – Small</t>
        </is>
      </c>
      <c r="C52" t="inlineStr">
        <is>
          <t>36T Gear</t>
        </is>
      </c>
      <c r="D52" t="inlineStr">
        <is>
          <t>36 Tooth Gear</t>
        </is>
      </c>
    </row>
    <row r="53">
      <c r="A53" s="4" t="inlineStr">
        <is>
          <t>B1-5</t>
        </is>
      </c>
      <c r="B53" s="5" t="inlineStr">
        <is>
          <t>Cart B – Small</t>
        </is>
      </c>
      <c r="C53" t="inlineStr">
        <is>
          <t>48T Gear</t>
        </is>
      </c>
      <c r="D53" t="inlineStr">
        <is>
          <t>48 Tooth Gear</t>
        </is>
      </c>
    </row>
    <row r="54">
      <c r="A54" s="4" t="inlineStr">
        <is>
          <t>B1-6</t>
        </is>
      </c>
      <c r="B54" s="5" t="inlineStr">
        <is>
          <t>Cart B – Small</t>
        </is>
      </c>
      <c r="C54" t="inlineStr">
        <is>
          <t>60T Gear</t>
        </is>
      </c>
      <c r="D54" t="inlineStr">
        <is>
          <t>60 Tooth Gear</t>
        </is>
      </c>
    </row>
    <row r="55">
      <c r="A55" s="4" t="inlineStr">
        <is>
          <t>B1-7</t>
        </is>
      </c>
      <c r="B55" s="5" t="inlineStr">
        <is>
          <t>Cart B – Small</t>
        </is>
      </c>
      <c r="C55" t="inlineStr">
        <is>
          <t>60T Gear</t>
        </is>
      </c>
      <c r="D55" t="inlineStr">
        <is>
          <t>60 Tooth Gear</t>
        </is>
      </c>
    </row>
    <row r="56">
      <c r="A56" s="4" t="inlineStr">
        <is>
          <t>B1-8</t>
        </is>
      </c>
      <c r="B56" s="5" t="inlineStr">
        <is>
          <t>Cart B – Small</t>
        </is>
      </c>
      <c r="C56" t="inlineStr">
        <is>
          <t>36T Crown Gear</t>
        </is>
      </c>
      <c r="D56" t="inlineStr">
        <is>
          <t>36 Tooth Crown Gear</t>
        </is>
      </c>
    </row>
    <row r="57">
      <c r="A57" s="4" t="inlineStr">
        <is>
          <t>B2-1</t>
        </is>
      </c>
      <c r="B57" s="5" t="inlineStr">
        <is>
          <t>Cart B – Small</t>
        </is>
      </c>
      <c r="C57" t="inlineStr">
        <is>
          <t>8T Sprocket</t>
        </is>
      </c>
      <c r="D57" t="inlineStr">
        <is>
          <t>8 Tooth Sprocket</t>
        </is>
      </c>
    </row>
    <row r="58">
      <c r="A58" s="4" t="inlineStr">
        <is>
          <t>B2-2</t>
        </is>
      </c>
      <c r="B58" s="5" t="inlineStr">
        <is>
          <t>Cart B – Small</t>
        </is>
      </c>
      <c r="C58" t="inlineStr">
        <is>
          <t>16T Sprocket</t>
        </is>
      </c>
      <c r="D58" t="inlineStr">
        <is>
          <t>16 Tooth Sprocket</t>
        </is>
      </c>
    </row>
    <row r="59">
      <c r="A59" s="4" t="inlineStr">
        <is>
          <t>B2-3</t>
        </is>
      </c>
      <c r="B59" s="5" t="inlineStr">
        <is>
          <t>Cart B – Small</t>
        </is>
      </c>
      <c r="C59" t="inlineStr">
        <is>
          <t>24T Sprocket</t>
        </is>
      </c>
      <c r="D59" t="inlineStr">
        <is>
          <t>24 Tooth Sprocket</t>
        </is>
      </c>
    </row>
    <row r="60">
      <c r="A60" s="4" t="inlineStr">
        <is>
          <t>B2-4</t>
        </is>
      </c>
      <c r="B60" s="5" t="inlineStr">
        <is>
          <t>Cart B – Small</t>
        </is>
      </c>
      <c r="C60" t="inlineStr">
        <is>
          <t>32T Sprocket</t>
        </is>
      </c>
      <c r="D60" t="inlineStr">
        <is>
          <t>32 Tooth Sprocket</t>
        </is>
      </c>
    </row>
    <row r="61">
      <c r="A61" s="4" t="inlineStr">
        <is>
          <t>B2-5</t>
        </is>
      </c>
      <c r="B61" s="5" t="inlineStr">
        <is>
          <t>Cart B – Small</t>
        </is>
      </c>
      <c r="C61" t="inlineStr">
        <is>
          <t>40T Sprocket</t>
        </is>
      </c>
      <c r="D61" t="inlineStr">
        <is>
          <t>40 Tooth Sprocket</t>
        </is>
      </c>
    </row>
    <row r="62">
      <c r="A62" s="4" t="inlineStr">
        <is>
          <t>B2-6</t>
        </is>
      </c>
      <c r="B62" s="5" t="inlineStr">
        <is>
          <t>Cart B – Small</t>
        </is>
      </c>
      <c r="C62" t="inlineStr">
        <is>
          <t>Optical + Distance Sensors</t>
        </is>
      </c>
      <c r="D62" t="inlineStr">
        <is>
          <t>Distance Sensor</t>
        </is>
      </c>
      <c r="E62" t="inlineStr">
        <is>
          <t>Optical Sensor</t>
        </is>
      </c>
    </row>
    <row r="63">
      <c r="A63" s="4" t="inlineStr">
        <is>
          <t>B2-7</t>
        </is>
      </c>
      <c r="B63" s="5" t="inlineStr">
        <is>
          <t>Cart B – Small</t>
        </is>
      </c>
      <c r="C63" t="inlineStr">
        <is>
          <t>Bumper Switches</t>
        </is>
      </c>
      <c r="D63" t="inlineStr">
        <is>
          <t>Bumper Switch</t>
        </is>
      </c>
    </row>
    <row r="64">
      <c r="A64" s="4" t="inlineStr">
        <is>
          <t>B2-8</t>
        </is>
      </c>
      <c r="B64" s="5" t="inlineStr">
        <is>
          <t>Cart B – Small</t>
        </is>
      </c>
      <c r="C64" t="inlineStr">
        <is>
          <t>Touch LEDs</t>
        </is>
      </c>
      <c r="D64" t="inlineStr">
        <is>
          <t>Touch LED</t>
        </is>
      </c>
    </row>
    <row r="65">
      <c r="A65" s="4" t="inlineStr">
        <is>
          <t>B3-1</t>
        </is>
      </c>
      <c r="B65" s="5" t="inlineStr">
        <is>
          <t>Cart B – Small</t>
        </is>
      </c>
      <c r="C65" t="inlineStr">
        <is>
          <t>Center Lock Beam + Lock Plates</t>
        </is>
      </c>
      <c r="D65" t="inlineStr">
        <is>
          <t>1x3 Center Lock Beam</t>
        </is>
      </c>
      <c r="E65" t="inlineStr">
        <is>
          <t>1x3 Center Lock Plate</t>
        </is>
      </c>
      <c r="F65" t="inlineStr">
        <is>
          <t>2x2 Lock Plate</t>
        </is>
      </c>
    </row>
    <row r="66">
      <c r="A66" s="4" t="inlineStr">
        <is>
          <t>B3-2</t>
        </is>
      </c>
      <c r="B66" s="5" t="inlineStr">
        <is>
          <t>Cart B – Small</t>
        </is>
      </c>
      <c r="C66" t="inlineStr">
        <is>
          <t>2x2 Round Lock Beam</t>
        </is>
      </c>
      <c r="D66" t="inlineStr">
        <is>
          <t>2x2 Center Offset Round Lock Beam</t>
        </is>
      </c>
    </row>
    <row r="67">
      <c r="A67" s="4" t="inlineStr">
        <is>
          <t>B3-3</t>
        </is>
      </c>
      <c r="B67" s="5" t="inlineStr">
        <is>
          <t>Cart B – Small</t>
        </is>
      </c>
      <c r="C67" t="inlineStr">
        <is>
          <t>1x4 Low-Profile End Lock Beam</t>
        </is>
      </c>
      <c r="D67" t="inlineStr">
        <is>
          <t>1x4 Low-Profile End Lock Beam</t>
        </is>
      </c>
    </row>
    <row r="68">
      <c r="A68" s="4" t="inlineStr">
        <is>
          <t>B3-4</t>
        </is>
      </c>
      <c r="B68" s="5" t="inlineStr">
        <is>
          <t>Cart B – Small</t>
        </is>
      </c>
      <c r="C68" t="inlineStr">
        <is>
          <t>Shafts: 2x / 4x / 6x / 8x</t>
        </is>
      </c>
      <c r="D68" t="inlineStr">
        <is>
          <t>2x Pitch Shaft</t>
        </is>
      </c>
      <c r="E68" t="inlineStr">
        <is>
          <t>4x Pitch Shaft</t>
        </is>
      </c>
      <c r="F68" t="inlineStr">
        <is>
          <t>6x Pitch Shaft</t>
        </is>
      </c>
      <c r="G68" t="inlineStr">
        <is>
          <t>8x Pitch Shaft</t>
        </is>
      </c>
    </row>
    <row r="69">
      <c r="A69" s="4" t="inlineStr">
        <is>
          <t>B3-5</t>
        </is>
      </c>
      <c r="B69" s="5" t="inlineStr">
        <is>
          <t>Cart B – Small</t>
        </is>
      </c>
      <c r="C69" t="inlineStr">
        <is>
          <t>Belts (30–60mm) + Pulley Tire</t>
        </is>
      </c>
      <c r="D69" t="inlineStr">
        <is>
          <t>20mm Pulley Tire Add-On</t>
        </is>
      </c>
      <c r="E69" t="inlineStr">
        <is>
          <t>Belt (2mm thick x 30mm dia)</t>
        </is>
      </c>
      <c r="F69" t="inlineStr">
        <is>
          <t>Belt (2mm thick x 40mm dia)</t>
        </is>
      </c>
      <c r="G69" t="inlineStr">
        <is>
          <t>Belt (2mm thick x 50mm dia)</t>
        </is>
      </c>
      <c r="H69" t="inlineStr">
        <is>
          <t>Belt (2mm thick x 60mm dia)</t>
        </is>
      </c>
    </row>
    <row r="70">
      <c r="A70" s="4" t="inlineStr">
        <is>
          <t>B3-6</t>
        </is>
      </c>
      <c r="B70" s="5" t="inlineStr">
        <is>
          <t>Cart B – Small</t>
        </is>
      </c>
      <c r="C70" t="inlineStr">
        <is>
          <t>1x4 Crank Arm / 23T Gear</t>
        </is>
      </c>
      <c r="D70" t="inlineStr">
        <is>
          <t>1x4 Crank Arm with 23 Tooth Gear</t>
        </is>
      </c>
    </row>
    <row r="71">
      <c r="A71" s="4" t="inlineStr">
        <is>
          <t>B3-7</t>
        </is>
      </c>
      <c r="B71" s="5" t="inlineStr">
        <is>
          <t>Cart B – Small</t>
        </is>
      </c>
      <c r="C71" t="inlineStr">
        <is>
          <t>Worm Gear + Bracket</t>
        </is>
      </c>
      <c r="D71" t="inlineStr">
        <is>
          <t>Worm Bracket</t>
        </is>
      </c>
      <c r="E71" t="inlineStr">
        <is>
          <t>Worm Gear</t>
        </is>
      </c>
    </row>
    <row r="72">
      <c r="A72" s="4" t="inlineStr">
        <is>
          <t>B3-8</t>
        </is>
      </c>
      <c r="B72" s="5" t="inlineStr">
        <is>
          <t>Cart B – Small</t>
        </is>
      </c>
      <c r="C72" t="inlineStr">
        <is>
          <t>Rubber Bands + Anchors</t>
        </is>
      </c>
      <c r="D72" t="inlineStr">
        <is>
          <t>Rubber Band Anchor</t>
        </is>
      </c>
      <c r="E72" t="inlineStr">
        <is>
          <t>Silicone Rubber Band #32</t>
        </is>
      </c>
    </row>
    <row r="73">
      <c r="A73" s="4" t="inlineStr">
        <is>
          <t>B4-1</t>
        </is>
      </c>
      <c r="B73" s="5" t="inlineStr">
        <is>
          <t>Cart B – Small</t>
        </is>
      </c>
      <c r="C73" t="inlineStr">
        <is>
          <t>Magnetic Beams N / S</t>
        </is>
      </c>
      <c r="D73" t="inlineStr">
        <is>
          <t>North Pole Magnetic Beam</t>
        </is>
      </c>
      <c r="E73" t="inlineStr">
        <is>
          <t>South Pole Magnetic Beam</t>
        </is>
      </c>
    </row>
    <row r="74">
      <c r="A74" s="4" t="inlineStr">
        <is>
          <t>B4-2</t>
        </is>
      </c>
      <c r="B74" s="5" t="inlineStr">
        <is>
          <t>Cart B – Small</t>
        </is>
      </c>
      <c r="C74" t="inlineStr">
        <is>
          <t>90° Standoff Connector</t>
        </is>
      </c>
      <c r="D74" t="inlineStr">
        <is>
          <t>90 Degree Standoff Connector</t>
        </is>
      </c>
    </row>
    <row r="75">
      <c r="A75" s="4" t="inlineStr">
        <is>
          <t>B4-3</t>
        </is>
      </c>
      <c r="B75" s="5" t="inlineStr">
        <is>
          <t>Cart B – Small</t>
        </is>
      </c>
      <c r="C75" t="inlineStr">
        <is>
          <t>Mini Standoff Connector</t>
        </is>
      </c>
      <c r="D75" t="inlineStr">
        <is>
          <t>Mini Standoff Connector</t>
        </is>
      </c>
    </row>
    <row r="76">
      <c r="A76" s="4" t="inlineStr">
        <is>
          <t>B4-4</t>
        </is>
      </c>
      <c r="B76" s="5" t="inlineStr">
        <is>
          <t>Cart B – Small</t>
        </is>
      </c>
      <c r="C76" t="inlineStr">
        <is>
          <t>End Standoff Connector</t>
        </is>
      </c>
      <c r="D76" t="inlineStr">
        <is>
          <t>End Standoff Connector</t>
        </is>
      </c>
    </row>
    <row r="77">
      <c r="A77" s="4" t="inlineStr">
        <is>
          <t>B4-5</t>
        </is>
      </c>
      <c r="B77" s="5" t="inlineStr">
        <is>
          <t>Cart B – Small</t>
        </is>
      </c>
      <c r="C77" t="inlineStr">
        <is>
          <t>1x1 Connector Pins</t>
        </is>
      </c>
      <c r="D77" t="inlineStr">
        <is>
          <t>1x1 Connector Pin</t>
        </is>
      </c>
    </row>
    <row r="78">
      <c r="A78" s="4" t="inlineStr">
        <is>
          <t>B4-6</t>
        </is>
      </c>
      <c r="B78" s="5" t="inlineStr">
        <is>
          <t>Cart B – Small</t>
        </is>
      </c>
      <c r="C78" t="inlineStr">
        <is>
          <t>1x1 Connector Pins</t>
        </is>
      </c>
      <c r="D78" t="inlineStr">
        <is>
          <t>1x1 Connector Pin</t>
        </is>
      </c>
    </row>
    <row r="79">
      <c r="A79" s="4" t="inlineStr">
        <is>
          <t>B4-7</t>
        </is>
      </c>
      <c r="B79" s="5" t="inlineStr">
        <is>
          <t>Cart B – Small</t>
        </is>
      </c>
      <c r="C79" t="inlineStr">
        <is>
          <t>1x2 Connector Pins</t>
        </is>
      </c>
      <c r="D79" t="inlineStr">
        <is>
          <t>1x2 Connector Pin</t>
        </is>
      </c>
    </row>
    <row r="80">
      <c r="A80" s="4" t="inlineStr">
        <is>
          <t>B4-8</t>
        </is>
      </c>
      <c r="B80" s="5" t="inlineStr">
        <is>
          <t>Cart B – Small</t>
        </is>
      </c>
      <c r="C80" t="inlineStr">
        <is>
          <t>2x2 Connector Pins</t>
        </is>
      </c>
      <c r="D80" t="inlineStr">
        <is>
          <t>2x2 Connector Pin</t>
        </is>
      </c>
    </row>
    <row r="81">
      <c r="A81" s="4" t="inlineStr">
        <is>
          <t>B5-1</t>
        </is>
      </c>
      <c r="B81" s="5" t="inlineStr">
        <is>
          <t>Cart B – Medium</t>
        </is>
      </c>
      <c r="C81" t="inlineStr">
        <is>
          <t>Chain Links</t>
        </is>
      </c>
      <c r="D81" t="inlineStr">
        <is>
          <t>Chain Link</t>
        </is>
      </c>
    </row>
    <row r="82">
      <c r="A82" s="4" t="inlineStr">
        <is>
          <t>B5-2</t>
        </is>
      </c>
      <c r="B82" s="5" t="inlineStr">
        <is>
          <t>Cart B – Medium</t>
        </is>
      </c>
      <c r="C82" t="inlineStr">
        <is>
          <t>XL Turntable System</t>
        </is>
      </c>
      <c r="D82" t="inlineStr">
        <is>
          <t>XL Turntable 36 Tooth Ring Gear Bushing</t>
        </is>
      </c>
      <c r="E82" t="inlineStr">
        <is>
          <t>XL Turntable Outer Housing</t>
        </is>
      </c>
      <c r="F82" t="inlineStr">
        <is>
          <t>XL Turntable Plain Bushing</t>
        </is>
      </c>
    </row>
    <row r="83">
      <c r="A83" s="4" t="inlineStr">
        <is>
          <t>B5-3</t>
        </is>
      </c>
      <c r="B83" s="5" t="inlineStr">
        <is>
          <t>Cart B – Medium</t>
        </is>
      </c>
      <c r="C83" t="inlineStr">
        <is>
          <t>200mm Tire + 44mm Hub</t>
        </is>
      </c>
      <c r="D83" t="inlineStr">
        <is>
          <t>Small Wheel Hub (44mm)</t>
        </is>
      </c>
      <c r="E83" t="inlineStr">
        <is>
          <t>Tire (200 mm Travel)</t>
        </is>
      </c>
    </row>
    <row r="84">
      <c r="A84" s="4" t="inlineStr">
        <is>
          <t>B5-4</t>
        </is>
      </c>
      <c r="B84" s="5" t="inlineStr">
        <is>
          <t>Cart B – Medium</t>
        </is>
      </c>
      <c r="C84" t="inlineStr">
        <is>
          <t>Balloon Tire + Ø48.5mm Hub</t>
        </is>
      </c>
      <c r="D84" t="inlineStr">
        <is>
          <t>2x Wide, 5x Pitch Diameter Balloon Tire (Racing Slick Tread)</t>
        </is>
      </c>
      <c r="E84" t="inlineStr">
        <is>
          <t>2x Wide, Ø48.5mm Diameter Hub</t>
        </is>
      </c>
    </row>
    <row r="85">
      <c r="A85" s="4" t="inlineStr">
        <is>
          <t>B5-5</t>
        </is>
      </c>
      <c r="B85" s="5" t="inlineStr">
        <is>
          <t>Cart B – Medium</t>
        </is>
      </c>
      <c r="C85" t="inlineStr">
        <is>
          <t>Omni Wheels</t>
        </is>
      </c>
      <c r="D85" t="inlineStr">
        <is>
          <t>Omni Wheels</t>
        </is>
      </c>
    </row>
    <row r="86">
      <c r="A86" s="4" t="inlineStr">
        <is>
          <t>B6-1</t>
        </is>
      </c>
      <c r="B86" s="5" t="inlineStr">
        <is>
          <t>Cart B – Medium</t>
        </is>
      </c>
      <c r="C86" t="inlineStr">
        <is>
          <t>Traction + Intake Flaps</t>
        </is>
      </c>
      <c r="D86" t="inlineStr">
        <is>
          <t>Medium Intake Flap</t>
        </is>
      </c>
      <c r="E86" t="inlineStr">
        <is>
          <t>Short Intake Flap</t>
        </is>
      </c>
      <c r="F86" t="inlineStr">
        <is>
          <t>Traction Link</t>
        </is>
      </c>
    </row>
    <row r="87">
      <c r="A87" s="4" t="inlineStr">
        <is>
          <t>B6-2</t>
        </is>
      </c>
      <c r="B87" s="5" t="inlineStr">
        <is>
          <t>Cart B – Medium</t>
        </is>
      </c>
      <c r="C87" t="inlineStr">
        <is>
          <t>Rope + Spool</t>
        </is>
      </c>
      <c r="D87" t="inlineStr">
        <is>
          <t>1x Wide Spool</t>
        </is>
      </c>
      <c r="E87" t="inlineStr">
        <is>
          <t>24x Pitch Rope</t>
        </is>
      </c>
    </row>
    <row r="88">
      <c r="A88" s="4" t="inlineStr">
        <is>
          <t>B6-3</t>
        </is>
      </c>
      <c r="B88" s="5" t="inlineStr">
        <is>
          <t>Cart B – Medium</t>
        </is>
      </c>
      <c r="C88" t="inlineStr">
        <is>
          <t>Cable Anchors</t>
        </is>
      </c>
      <c r="D88" t="inlineStr">
        <is>
          <t>Cable Anchor</t>
        </is>
      </c>
    </row>
    <row r="89">
      <c r="A89" s="4" t="inlineStr">
        <is>
          <t>B6-4</t>
        </is>
      </c>
      <c r="B89" s="5" t="inlineStr">
        <is>
          <t>Cart B – Medium</t>
        </is>
      </c>
      <c r="C89" t="inlineStr"/>
    </row>
    <row r="90">
      <c r="A90" s="4" t="inlineStr">
        <is>
          <t>B6-5</t>
        </is>
      </c>
      <c r="B90" s="5" t="inlineStr">
        <is>
          <t>Cart B – Medium</t>
        </is>
      </c>
      <c r="C90" t="inlineStr">
        <is>
          <t>Rack Gear + Linear Slide Bracket</t>
        </is>
      </c>
      <c r="D90" t="inlineStr">
        <is>
          <t>Linear Slide Bracket</t>
        </is>
      </c>
      <c r="E90" t="inlineStr">
        <is>
          <t>Rack Gear</t>
        </is>
      </c>
    </row>
    <row r="91">
      <c r="A91" s="4" t="inlineStr">
        <is>
          <t>B7-1</t>
        </is>
      </c>
      <c r="B91" s="5" t="inlineStr">
        <is>
          <t>Cart B – Medium</t>
        </is>
      </c>
      <c r="C91" t="inlineStr">
        <is>
          <t>Linear Motion Beams (1x5, 1x6, 1x8)</t>
        </is>
      </c>
      <c r="D91" t="inlineStr">
        <is>
          <t>1x5 Linear Motion Beam</t>
        </is>
      </c>
      <c r="E91" t="inlineStr">
        <is>
          <t>1x6 Linear Motion Beam</t>
        </is>
      </c>
      <c r="F91" t="inlineStr">
        <is>
          <t>1x8 Linear Motion Beam</t>
        </is>
      </c>
    </row>
    <row r="92">
      <c r="A92" s="4" t="inlineStr">
        <is>
          <t>B7-2</t>
        </is>
      </c>
      <c r="B92" s="5" t="inlineStr">
        <is>
          <t>Cart B – Medium</t>
        </is>
      </c>
      <c r="C92" t="inlineStr">
        <is>
          <t>Linear Motion Racks + Brackets</t>
        </is>
      </c>
      <c r="D92" t="inlineStr">
        <is>
          <t>1x6 Linear Motion Rack Gear</t>
        </is>
      </c>
      <c r="E92" t="inlineStr">
        <is>
          <t>1x6 Continuous Linear Motion Rack Gear</t>
        </is>
      </c>
      <c r="F92" t="inlineStr">
        <is>
          <t>1x20 Linear Motion Rack Gear</t>
        </is>
      </c>
      <c r="G92" t="inlineStr">
        <is>
          <t>2x Pitch Linear Motion Bracket (Side Mount)</t>
        </is>
      </c>
      <c r="H92" t="inlineStr">
        <is>
          <t>1x Pitch Linear Motion Bracket (Snap Mount)</t>
        </is>
      </c>
    </row>
    <row r="93">
      <c r="A93" s="4" t="inlineStr">
        <is>
          <t>B7-3</t>
        </is>
      </c>
      <c r="B93" s="5" t="inlineStr">
        <is>
          <t>Cart B – Medium</t>
        </is>
      </c>
      <c r="C93" t="inlineStr">
        <is>
          <t>Pulleys: 10mm + 20mm</t>
        </is>
      </c>
      <c r="D93" t="inlineStr">
        <is>
          <t>10mm Pulley</t>
        </is>
      </c>
      <c r="E93" t="inlineStr">
        <is>
          <t>20mm Pulley</t>
        </is>
      </c>
    </row>
    <row r="94">
      <c r="A94" s="4" t="inlineStr">
        <is>
          <t>B7-4</t>
        </is>
      </c>
      <c r="B94" s="5" t="inlineStr">
        <is>
          <t>Cart B – Medium</t>
        </is>
      </c>
      <c r="C94" t="inlineStr">
        <is>
          <t>Pulleys: 30mm + 40mm</t>
        </is>
      </c>
      <c r="D94" t="inlineStr">
        <is>
          <t>30mm Pulley</t>
        </is>
      </c>
      <c r="E94" t="inlineStr">
        <is>
          <t>40mm Pulley</t>
        </is>
      </c>
    </row>
    <row r="95">
      <c r="A95" s="4" t="inlineStr">
        <is>
          <t>B7-5</t>
        </is>
      </c>
      <c r="B95" s="5" t="inlineStr">
        <is>
          <t>Cart B – Medium</t>
        </is>
      </c>
      <c r="C95" t="inlineStr"/>
    </row>
    <row r="96">
      <c r="A96" s="6" t="inlineStr">
        <is>
          <t>AK01</t>
        </is>
      </c>
      <c r="B96" s="7" t="inlineStr">
        <is>
          <t>Akro-Mils</t>
        </is>
      </c>
      <c r="C96" t="inlineStr">
        <is>
          <t>Shaft Bushing</t>
        </is>
      </c>
      <c r="D96" t="inlineStr">
        <is>
          <t>Shaft Bushing</t>
        </is>
      </c>
    </row>
    <row r="97">
      <c r="A97" s="6" t="inlineStr">
        <is>
          <t>AK02</t>
        </is>
      </c>
      <c r="B97" s="7" t="inlineStr">
        <is>
          <t>Akro-Mils</t>
        </is>
      </c>
      <c r="C97" t="inlineStr">
        <is>
          <t>Washers</t>
        </is>
      </c>
      <c r="D97" t="inlineStr">
        <is>
          <t>Washer</t>
        </is>
      </c>
    </row>
    <row r="98">
      <c r="A98" s="6" t="inlineStr">
        <is>
          <t>AK03</t>
        </is>
      </c>
      <c r="B98" s="7" t="inlineStr">
        <is>
          <t>Akro-Mils</t>
        </is>
      </c>
      <c r="C98" t="inlineStr">
        <is>
          <t>0.25x Spacer</t>
        </is>
      </c>
      <c r="D98" t="inlineStr">
        <is>
          <t>0.25x Pitch Spacer</t>
        </is>
      </c>
    </row>
    <row r="99">
      <c r="A99" s="6" t="inlineStr">
        <is>
          <t>AK04</t>
        </is>
      </c>
      <c r="B99" s="7" t="inlineStr">
        <is>
          <t>Akro-Mils</t>
        </is>
      </c>
      <c r="C99" t="inlineStr">
        <is>
          <t>0.5x Spacer</t>
        </is>
      </c>
      <c r="D99" t="inlineStr">
        <is>
          <t>0.5x Pitch Spacer</t>
        </is>
      </c>
    </row>
    <row r="100">
      <c r="A100" s="6" t="inlineStr">
        <is>
          <t>AK05</t>
        </is>
      </c>
      <c r="B100" s="7" t="inlineStr">
        <is>
          <t>Akro-Mils</t>
        </is>
      </c>
      <c r="C100" t="inlineStr"/>
    </row>
    <row r="101">
      <c r="A101" s="6" t="inlineStr">
        <is>
          <t>AK06</t>
        </is>
      </c>
      <c r="B101" s="7" t="inlineStr">
        <is>
          <t>Akro-Mils</t>
        </is>
      </c>
      <c r="C101" t="inlineStr">
        <is>
          <t>Rubber Shaft Collars</t>
        </is>
      </c>
      <c r="D101" t="inlineStr">
        <is>
          <t>Rubber Shaft Collar</t>
        </is>
      </c>
    </row>
    <row r="102">
      <c r="A102" s="6" t="inlineStr">
        <is>
          <t>AK07</t>
        </is>
      </c>
      <c r="B102" s="7" t="inlineStr">
        <is>
          <t>Akro-Mils</t>
        </is>
      </c>
      <c r="C102" t="inlineStr">
        <is>
          <t>Rubber Shaft Collars</t>
        </is>
      </c>
      <c r="D102" t="inlineStr">
        <is>
          <t>Rubber Shaft Collar</t>
        </is>
      </c>
    </row>
    <row r="103">
      <c r="A103" s="6" t="inlineStr">
        <is>
          <t>AK08</t>
        </is>
      </c>
      <c r="B103" s="7" t="inlineStr">
        <is>
          <t>Akro-Mils</t>
        </is>
      </c>
      <c r="C103" t="inlineStr"/>
    </row>
    <row r="104">
      <c r="A104" s="6" t="inlineStr">
        <is>
          <t>AK09</t>
        </is>
      </c>
      <c r="B104" s="7" t="inlineStr">
        <is>
          <t>Akro-Mils</t>
        </is>
      </c>
      <c r="C104" t="inlineStr"/>
    </row>
    <row r="105">
      <c r="A105" s="6" t="inlineStr">
        <is>
          <t>AK10</t>
        </is>
      </c>
      <c r="B105" s="7" t="inlineStr">
        <is>
          <t>Akro-Mils</t>
        </is>
      </c>
      <c r="C105" t="inlineStr"/>
    </row>
    <row r="106">
      <c r="A106" s="6" t="inlineStr">
        <is>
          <t>AK11</t>
        </is>
      </c>
      <c r="B106" s="7" t="inlineStr">
        <is>
          <t>Akro-Mils</t>
        </is>
      </c>
      <c r="C106" t="inlineStr"/>
    </row>
    <row r="107">
      <c r="A107" s="6" t="inlineStr">
        <is>
          <t>AK12</t>
        </is>
      </c>
      <c r="B107" s="7" t="inlineStr">
        <is>
          <t>Akro-Mils</t>
        </is>
      </c>
      <c r="C107" t="inlineStr"/>
    </row>
    <row r="108">
      <c r="A108" s="6" t="inlineStr">
        <is>
          <t>AK13</t>
        </is>
      </c>
      <c r="B108" s="7" t="inlineStr">
        <is>
          <t>Akro-Mils</t>
        </is>
      </c>
      <c r="C108" t="inlineStr"/>
    </row>
    <row r="109">
      <c r="A109" s="6" t="inlineStr">
        <is>
          <t>AK14</t>
        </is>
      </c>
      <c r="B109" s="7" t="inlineStr">
        <is>
          <t>Akro-Mils</t>
        </is>
      </c>
      <c r="C109" t="inlineStr"/>
    </row>
    <row r="110">
      <c r="A110" s="6" t="inlineStr">
        <is>
          <t>AK15</t>
        </is>
      </c>
      <c r="B110" s="7" t="inlineStr">
        <is>
          <t>Akro-Mils</t>
        </is>
      </c>
      <c r="C110" t="inlineStr"/>
    </row>
    <row r="111">
      <c r="A111" s="6" t="inlineStr">
        <is>
          <t>AK16</t>
        </is>
      </c>
      <c r="B111" s="7" t="inlineStr">
        <is>
          <t>Akro-Mils</t>
        </is>
      </c>
      <c r="C111" t="inlineStr"/>
    </row>
    <row r="112">
      <c r="A112" s="6" t="inlineStr">
        <is>
          <t>AK17</t>
        </is>
      </c>
      <c r="B112" s="7" t="inlineStr">
        <is>
          <t>Akro-Mils</t>
        </is>
      </c>
      <c r="C112" t="inlineStr">
        <is>
          <t>2x Capped Shaft</t>
        </is>
      </c>
      <c r="D112" t="inlineStr">
        <is>
          <t>2x Pitch Capped Shaft</t>
        </is>
      </c>
    </row>
    <row r="113">
      <c r="A113" s="6" t="inlineStr">
        <is>
          <t>AK18</t>
        </is>
      </c>
      <c r="B113" s="7" t="inlineStr">
        <is>
          <t>Akro-Mils</t>
        </is>
      </c>
      <c r="C113" t="inlineStr">
        <is>
          <t>3x Capped Shafts (plastic + metal)</t>
        </is>
      </c>
      <c r="D113" t="inlineStr">
        <is>
          <t>3x Pitch Capped Plastic Shaft</t>
        </is>
      </c>
      <c r="E113" t="inlineStr">
        <is>
          <t>3x Pitch Capped Shaft</t>
        </is>
      </c>
    </row>
    <row r="114">
      <c r="A114" s="6" t="inlineStr">
        <is>
          <t>AK19</t>
        </is>
      </c>
      <c r="B114" s="7" t="inlineStr">
        <is>
          <t>Akro-Mils</t>
        </is>
      </c>
      <c r="C114" t="inlineStr">
        <is>
          <t>4x Capped Shaft</t>
        </is>
      </c>
      <c r="D114" t="inlineStr">
        <is>
          <t>4x Pitch Capped Shaft</t>
        </is>
      </c>
    </row>
    <row r="115">
      <c r="A115" s="6" t="inlineStr">
        <is>
          <t>AK20</t>
        </is>
      </c>
      <c r="B115" s="7" t="inlineStr">
        <is>
          <t>Akro-Mils</t>
        </is>
      </c>
      <c r="C115" t="inlineStr">
        <is>
          <t>5x Capped Shafts (metal + plastic)</t>
        </is>
      </c>
      <c r="D115" t="inlineStr">
        <is>
          <t>5x Pitch Capped Plastic Shaft</t>
        </is>
      </c>
      <c r="E115" t="inlineStr">
        <is>
          <t>5x Pitch Capped Shaft</t>
        </is>
      </c>
    </row>
    <row r="116">
      <c r="A116" s="6" t="inlineStr">
        <is>
          <t>AK21</t>
        </is>
      </c>
      <c r="B116" s="7" t="inlineStr">
        <is>
          <t>Akro-Mils</t>
        </is>
      </c>
      <c r="C116" t="inlineStr">
        <is>
          <t>1x Plastic Motor Shaft</t>
        </is>
      </c>
      <c r="D116" t="inlineStr">
        <is>
          <t>1x Pitch Plastic Motor Shaft</t>
        </is>
      </c>
    </row>
    <row r="117">
      <c r="A117" s="6" t="inlineStr">
        <is>
          <t>AK22</t>
        </is>
      </c>
      <c r="B117" s="7" t="inlineStr">
        <is>
          <t>Akro-Mils</t>
        </is>
      </c>
      <c r="C117" t="inlineStr">
        <is>
          <t>2x Motor Shafts (plastic + metal)</t>
        </is>
      </c>
      <c r="D117" t="inlineStr">
        <is>
          <t>2x Pitch Plastic Motor Shaft</t>
        </is>
      </c>
      <c r="E117" t="inlineStr">
        <is>
          <t>2x Pitch Motor Shaft</t>
        </is>
      </c>
    </row>
    <row r="118">
      <c r="A118" s="6" t="inlineStr">
        <is>
          <t>AK23</t>
        </is>
      </c>
      <c r="B118" s="7" t="inlineStr">
        <is>
          <t>Akro-Mils</t>
        </is>
      </c>
      <c r="C118" t="inlineStr">
        <is>
          <t>3x Motor Shafts (plastic + metal)</t>
        </is>
      </c>
      <c r="D118" t="inlineStr">
        <is>
          <t>3x Pitch Plastic Motor Shaft</t>
        </is>
      </c>
      <c r="E118" t="inlineStr">
        <is>
          <t>3x Pitch Motor Shaft</t>
        </is>
      </c>
    </row>
    <row r="119">
      <c r="A119" s="6" t="inlineStr">
        <is>
          <t>AK24</t>
        </is>
      </c>
      <c r="B119" s="7" t="inlineStr">
        <is>
          <t>Akro-Mils</t>
        </is>
      </c>
      <c r="C119" t="inlineStr">
        <is>
          <t>4x Motor Shafts (plastic + metal)</t>
        </is>
      </c>
      <c r="D119" t="inlineStr">
        <is>
          <t>4x Pitch Plastic Motor Shaft</t>
        </is>
      </c>
      <c r="E119" t="inlineStr">
        <is>
          <t>4x Pitch Motor Shaft</t>
        </is>
      </c>
    </row>
    <row r="120">
      <c r="A120" s="6" t="inlineStr">
        <is>
          <t>AK25</t>
        </is>
      </c>
      <c r="B120" s="7" t="inlineStr">
        <is>
          <t>Akro-Mils</t>
        </is>
      </c>
      <c r="C120" t="inlineStr"/>
    </row>
    <row r="121">
      <c r="A121" s="6" t="inlineStr">
        <is>
          <t>AK26</t>
        </is>
      </c>
      <c r="B121" s="7" t="inlineStr">
        <is>
          <t>Akro-Mils</t>
        </is>
      </c>
      <c r="C121" t="inlineStr">
        <is>
          <t>0x2 Connector Pin</t>
        </is>
      </c>
      <c r="D121" t="inlineStr">
        <is>
          <t>0x2 Connector Pin</t>
        </is>
      </c>
    </row>
    <row r="122">
      <c r="A122" s="6" t="inlineStr">
        <is>
          <t>AK27</t>
        </is>
      </c>
      <c r="B122" s="7" t="inlineStr">
        <is>
          <t>Akro-Mils</t>
        </is>
      </c>
      <c r="C122" t="inlineStr">
        <is>
          <t>0x3 Connector Pin</t>
        </is>
      </c>
      <c r="D122" t="inlineStr">
        <is>
          <t>0x3 Connector Pin</t>
        </is>
      </c>
    </row>
    <row r="123">
      <c r="A123" s="6" t="inlineStr">
        <is>
          <t>AK28</t>
        </is>
      </c>
      <c r="B123" s="7" t="inlineStr">
        <is>
          <t>Akro-Mils</t>
        </is>
      </c>
      <c r="C123" t="inlineStr">
        <is>
          <t>0x2 Idler Pin</t>
        </is>
      </c>
      <c r="D123" t="inlineStr">
        <is>
          <t>0x2 Idler Pin</t>
        </is>
      </c>
    </row>
    <row r="124">
      <c r="A124" s="6" t="inlineStr">
        <is>
          <t>AK29</t>
        </is>
      </c>
      <c r="B124" s="7" t="inlineStr">
        <is>
          <t>Akro-Mils</t>
        </is>
      </c>
      <c r="C124" t="inlineStr">
        <is>
          <t>0x3 Idler Pin</t>
        </is>
      </c>
      <c r="D124" t="inlineStr">
        <is>
          <t>0x3 Idler Pin</t>
        </is>
      </c>
    </row>
    <row r="125">
      <c r="A125" s="6" t="inlineStr">
        <is>
          <t>AK30</t>
        </is>
      </c>
      <c r="B125" s="7" t="inlineStr">
        <is>
          <t>Akro-Mils</t>
        </is>
      </c>
      <c r="C125" t="inlineStr">
        <is>
          <t>1x1 Idler Pin</t>
        </is>
      </c>
      <c r="D125" t="inlineStr">
        <is>
          <t>1x1 Idler Pin</t>
        </is>
      </c>
    </row>
    <row r="126">
      <c r="A126" s="6" t="inlineStr">
        <is>
          <t>AK31</t>
        </is>
      </c>
      <c r="B126" s="7" t="inlineStr">
        <is>
          <t>Akro-Mils</t>
        </is>
      </c>
      <c r="C126" t="inlineStr">
        <is>
          <t>1x2 Idler Pin</t>
        </is>
      </c>
      <c r="D126" t="inlineStr">
        <is>
          <t>1x2 Idler Pin</t>
        </is>
      </c>
    </row>
    <row r="127">
      <c r="A127" s="6" t="inlineStr">
        <is>
          <t>AK32</t>
        </is>
      </c>
      <c r="B127" s="7" t="inlineStr">
        <is>
          <t>Akro-Mils</t>
        </is>
      </c>
      <c r="C127" t="inlineStr"/>
    </row>
    <row r="128">
      <c r="A128" s="6" t="inlineStr">
        <is>
          <t>AK33</t>
        </is>
      </c>
      <c r="B128" s="7" t="inlineStr">
        <is>
          <t>Akro-Mils</t>
        </is>
      </c>
      <c r="C128" t="inlineStr">
        <is>
          <t>0.25x Standoff</t>
        </is>
      </c>
      <c r="D128" t="inlineStr">
        <is>
          <t>0.25x Pitch Standoff</t>
        </is>
      </c>
    </row>
    <row r="129">
      <c r="A129" s="6" t="inlineStr">
        <is>
          <t>AK34</t>
        </is>
      </c>
      <c r="B129" s="7" t="inlineStr">
        <is>
          <t>Akro-Mils</t>
        </is>
      </c>
      <c r="C129" t="inlineStr">
        <is>
          <t>0.5x Standoff</t>
        </is>
      </c>
      <c r="D129" t="inlineStr">
        <is>
          <t>0.5x Pitch Standoff</t>
        </is>
      </c>
    </row>
    <row r="130">
      <c r="A130" s="6" t="inlineStr">
        <is>
          <t>AK35</t>
        </is>
      </c>
      <c r="B130" s="7" t="inlineStr">
        <is>
          <t>Akro-Mils</t>
        </is>
      </c>
      <c r="C130" t="inlineStr">
        <is>
          <t>1x Standoff</t>
        </is>
      </c>
      <c r="D130" t="inlineStr">
        <is>
          <t>1x Pitch Standoff</t>
        </is>
      </c>
    </row>
    <row r="131">
      <c r="A131" s="6" t="inlineStr">
        <is>
          <t>AK36</t>
        </is>
      </c>
      <c r="B131" s="7" t="inlineStr">
        <is>
          <t>Akro-Mils</t>
        </is>
      </c>
      <c r="C131" t="inlineStr">
        <is>
          <t>2x Standoff</t>
        </is>
      </c>
      <c r="D131" t="inlineStr">
        <is>
          <t>2x Pitch Standoff</t>
        </is>
      </c>
    </row>
    <row r="132">
      <c r="A132" s="6" t="inlineStr">
        <is>
          <t>AK37</t>
        </is>
      </c>
      <c r="B132" s="7" t="inlineStr">
        <is>
          <t>Akro-Mils</t>
        </is>
      </c>
      <c r="C132" t="inlineStr">
        <is>
          <t>2x Standoff</t>
        </is>
      </c>
      <c r="D132" t="inlineStr">
        <is>
          <t>2x Pitch Standoff</t>
        </is>
      </c>
    </row>
    <row r="133">
      <c r="A133" s="6" t="inlineStr">
        <is>
          <t>AK38</t>
        </is>
      </c>
      <c r="B133" s="7" t="inlineStr">
        <is>
          <t>Akro-Mils</t>
        </is>
      </c>
      <c r="C133" t="inlineStr">
        <is>
          <t>4x Standoff</t>
        </is>
      </c>
      <c r="D133" t="inlineStr">
        <is>
          <t>4x Pitch Standoff</t>
        </is>
      </c>
    </row>
    <row r="134">
      <c r="A134" s="6" t="inlineStr">
        <is>
          <t>AK39</t>
        </is>
      </c>
      <c r="B134" s="7" t="inlineStr">
        <is>
          <t>Akro-Mils</t>
        </is>
      </c>
      <c r="C134" t="inlineStr">
        <is>
          <t>6x Standoff</t>
        </is>
      </c>
      <c r="D134" t="inlineStr">
        <is>
          <t>6x Pitch Standoff</t>
        </is>
      </c>
    </row>
    <row r="135">
      <c r="A135" s="6" t="inlineStr">
        <is>
          <t>AK40</t>
        </is>
      </c>
      <c r="B135" s="7" t="inlineStr">
        <is>
          <t>Akro-Mils</t>
        </is>
      </c>
      <c r="C135" t="inlineStr">
        <is>
          <t>6x Standoff</t>
        </is>
      </c>
      <c r="D135" t="inlineStr">
        <is>
          <t>6x Pitch Standoff</t>
        </is>
      </c>
    </row>
    <row r="136">
      <c r="A136" s="6" t="inlineStr">
        <is>
          <t>AK41</t>
        </is>
      </c>
      <c r="B136" s="7" t="inlineStr">
        <is>
          <t>Akro-Mils</t>
        </is>
      </c>
      <c r="C136" t="inlineStr"/>
    </row>
    <row r="137">
      <c r="A137" s="6" t="inlineStr">
        <is>
          <t>AK42</t>
        </is>
      </c>
      <c r="B137" s="7" t="inlineStr">
        <is>
          <t>Akro-Mils</t>
        </is>
      </c>
      <c r="C137" t="inlineStr">
        <is>
          <t>0.5x Standoff Extender</t>
        </is>
      </c>
      <c r="D137" t="inlineStr">
        <is>
          <t>0.5x Pitch Standoff Extender</t>
        </is>
      </c>
    </row>
    <row r="138">
      <c r="A138" s="6" t="inlineStr">
        <is>
          <t>AK43</t>
        </is>
      </c>
      <c r="B138" s="7" t="inlineStr">
        <is>
          <t>Akro-Mils</t>
        </is>
      </c>
      <c r="C138" t="inlineStr"/>
    </row>
    <row r="139">
      <c r="A139" s="6" t="inlineStr">
        <is>
          <t>AK44</t>
        </is>
      </c>
      <c r="B139" s="7" t="inlineStr">
        <is>
          <t>Akro-Mils</t>
        </is>
      </c>
      <c r="C139" t="inlineStr"/>
    </row>
    <row r="140">
      <c r="A140" s="6" t="inlineStr">
        <is>
          <t>AK45</t>
        </is>
      </c>
      <c r="B140" s="7" t="inlineStr">
        <is>
          <t>Akro-Mils</t>
        </is>
      </c>
      <c r="C140" t="inlineStr"/>
    </row>
    <row r="141">
      <c r="A141" s="6" t="inlineStr">
        <is>
          <t>AK46</t>
        </is>
      </c>
      <c r="B141" s="7" t="inlineStr">
        <is>
          <t>Akro-Mils</t>
        </is>
      </c>
      <c r="C141" t="inlineStr"/>
    </row>
    <row r="142">
      <c r="A142" s="6" t="inlineStr">
        <is>
          <t>AK47</t>
        </is>
      </c>
      <c r="B142" s="7" t="inlineStr">
        <is>
          <t>Akro-Mils</t>
        </is>
      </c>
      <c r="C142" t="inlineStr"/>
    </row>
    <row r="143">
      <c r="A143" s="6" t="inlineStr">
        <is>
          <t>AK48</t>
        </is>
      </c>
      <c r="B143" s="7" t="inlineStr">
        <is>
          <t>Akro-Mils</t>
        </is>
      </c>
      <c r="C143" t="inlineStr"/>
    </row>
    <row r="144">
      <c r="A144" s="6" t="inlineStr">
        <is>
          <t>AK49</t>
        </is>
      </c>
      <c r="B144" s="7" t="inlineStr">
        <is>
          <t>Akro-Mils</t>
        </is>
      </c>
      <c r="C144" t="inlineStr"/>
    </row>
    <row r="145">
      <c r="A145" s="6" t="inlineStr">
        <is>
          <t>AK50</t>
        </is>
      </c>
      <c r="B145" s="7" t="inlineStr">
        <is>
          <t>Akro-Mils</t>
        </is>
      </c>
      <c r="C145" t="inlineStr"/>
    </row>
    <row r="146">
      <c r="A146" s="6" t="inlineStr">
        <is>
          <t>AK51</t>
        </is>
      </c>
      <c r="B146" s="7" t="inlineStr">
        <is>
          <t>Akro-Mils</t>
        </is>
      </c>
      <c r="C146" t="inlineStr"/>
    </row>
    <row r="147">
      <c r="A147" s="6" t="inlineStr">
        <is>
          <t>AK52</t>
        </is>
      </c>
      <c r="B147" s="7" t="inlineStr">
        <is>
          <t>Akro-Mils</t>
        </is>
      </c>
      <c r="C147" t="inlineStr"/>
    </row>
    <row r="148">
      <c r="A148" s="6" t="inlineStr">
        <is>
          <t>AK53</t>
        </is>
      </c>
      <c r="B148" s="7" t="inlineStr">
        <is>
          <t>Akro-Mils</t>
        </is>
      </c>
      <c r="C148" t="inlineStr"/>
    </row>
    <row r="149">
      <c r="A149" s="6" t="inlineStr">
        <is>
          <t>AK54</t>
        </is>
      </c>
      <c r="B149" s="7" t="inlineStr">
        <is>
          <t>Akro-Mils</t>
        </is>
      </c>
      <c r="C149" t="inlineStr"/>
    </row>
    <row r="150">
      <c r="A150" s="6" t="inlineStr">
        <is>
          <t>AK55</t>
        </is>
      </c>
      <c r="B150" s="7" t="inlineStr">
        <is>
          <t>Akro-Mils</t>
        </is>
      </c>
      <c r="C150" t="inlineStr"/>
    </row>
    <row r="151">
      <c r="A151" s="6" t="inlineStr">
        <is>
          <t>AK56</t>
        </is>
      </c>
      <c r="B151" s="7" t="inlineStr">
        <is>
          <t>Akro-Mils</t>
        </is>
      </c>
      <c r="C151" t="inlineStr"/>
    </row>
    <row r="152">
      <c r="A152" s="6" t="inlineStr">
        <is>
          <t>AK57</t>
        </is>
      </c>
      <c r="B152" s="7" t="inlineStr">
        <is>
          <t>Akro-Mils</t>
        </is>
      </c>
      <c r="C152" t="inlineStr"/>
    </row>
    <row r="153">
      <c r="A153" s="6" t="inlineStr">
        <is>
          <t>AK58</t>
        </is>
      </c>
      <c r="B153" s="7" t="inlineStr">
        <is>
          <t>Akro-Mils</t>
        </is>
      </c>
      <c r="C153" t="inlineStr"/>
    </row>
    <row r="154">
      <c r="A154" s="6" t="inlineStr">
        <is>
          <t>AK59</t>
        </is>
      </c>
      <c r="B154" s="7" t="inlineStr">
        <is>
          <t>Akro-Mils</t>
        </is>
      </c>
      <c r="C154" t="inlineStr"/>
    </row>
    <row r="155">
      <c r="A155" s="6" t="inlineStr">
        <is>
          <t>AK60</t>
        </is>
      </c>
      <c r="B155" s="7" t="inlineStr">
        <is>
          <t>Akro-Mils</t>
        </is>
      </c>
      <c r="C155" t="inlineStr"/>
    </row>
    <row r="156">
      <c r="A156" s="6" t="inlineStr">
        <is>
          <t>AK61</t>
        </is>
      </c>
      <c r="B156" s="7" t="inlineStr">
        <is>
          <t>Akro-Mils</t>
        </is>
      </c>
      <c r="C156" t="inlineStr"/>
    </row>
    <row r="157">
      <c r="A157" s="6" t="inlineStr">
        <is>
          <t>AK62</t>
        </is>
      </c>
      <c r="B157" s="7" t="inlineStr">
        <is>
          <t>Akro-Mils</t>
        </is>
      </c>
      <c r="C157" t="inlineStr"/>
    </row>
    <row r="158">
      <c r="A158" s="6" t="inlineStr">
        <is>
          <t>AK63</t>
        </is>
      </c>
      <c r="B158" s="7" t="inlineStr">
        <is>
          <t>Akro-Mils</t>
        </is>
      </c>
      <c r="C158" t="inlineStr"/>
    </row>
    <row r="159">
      <c r="A159" s="6" t="inlineStr">
        <is>
          <t>AK64</t>
        </is>
      </c>
      <c r="B159" s="7" t="inlineStr">
        <is>
          <t>Akro-Mils</t>
        </is>
      </c>
      <c r="C159" t="inlineStr"/>
    </row>
    <row r="160">
      <c r="A160" s="8" t="inlineStr">
        <is>
          <t>V01</t>
        </is>
      </c>
      <c r="B160" s="9" t="inlineStr">
        <is>
          <t>Vertical Hangers</t>
        </is>
      </c>
      <c r="C160" t="inlineStr"/>
    </row>
    <row r="161">
      <c r="A161" s="8" t="inlineStr">
        <is>
          <t>V02</t>
        </is>
      </c>
      <c r="B161" s="9" t="inlineStr">
        <is>
          <t>Vertical Hangers</t>
        </is>
      </c>
      <c r="C161" t="inlineStr"/>
    </row>
    <row r="162">
      <c r="A162" s="8" t="inlineStr">
        <is>
          <t>V03</t>
        </is>
      </c>
      <c r="B162" s="9" t="inlineStr">
        <is>
          <t>Vertical Hangers</t>
        </is>
      </c>
      <c r="C162" t="inlineStr"/>
    </row>
    <row r="163">
      <c r="A163" s="8" t="inlineStr">
        <is>
          <t>V04</t>
        </is>
      </c>
      <c r="B163" s="9" t="inlineStr">
        <is>
          <t>Vertical Hangers</t>
        </is>
      </c>
      <c r="C163" t="inlineStr">
        <is>
          <t>200mm Cables</t>
        </is>
      </c>
      <c r="D163" t="inlineStr">
        <is>
          <t>200mm Cable</t>
        </is>
      </c>
    </row>
    <row r="164">
      <c r="A164" s="8" t="inlineStr">
        <is>
          <t>V05</t>
        </is>
      </c>
      <c r="B164" s="9" t="inlineStr">
        <is>
          <t>Vertical Hangers</t>
        </is>
      </c>
      <c r="C164" t="inlineStr">
        <is>
          <t>300mm Cables</t>
        </is>
      </c>
      <c r="D164" t="inlineStr">
        <is>
          <t>300mm Cable</t>
        </is>
      </c>
    </row>
    <row r="165">
      <c r="A165" s="8" t="inlineStr">
        <is>
          <t>V06</t>
        </is>
      </c>
      <c r="B165" s="9" t="inlineStr">
        <is>
          <t>Vertical Hangers</t>
        </is>
      </c>
      <c r="C165" t="inlineStr">
        <is>
          <t>400mm Cables</t>
        </is>
      </c>
      <c r="D165" t="inlineStr">
        <is>
          <t>400mm Cable</t>
        </is>
      </c>
    </row>
    <row r="166">
      <c r="A166" s="8" t="inlineStr">
        <is>
          <t>V07</t>
        </is>
      </c>
      <c r="B166" s="9" t="inlineStr">
        <is>
          <t>Vertical Hangers</t>
        </is>
      </c>
      <c r="C166" t="inlineStr">
        <is>
          <t>600mm Cables</t>
        </is>
      </c>
      <c r="D166" t="inlineStr">
        <is>
          <t>600mm Cable</t>
        </is>
      </c>
    </row>
    <row r="167">
      <c r="A167" s="8" t="inlineStr">
        <is>
          <t>V08</t>
        </is>
      </c>
      <c r="B167" s="9" t="inlineStr">
        <is>
          <t>Vertical Hangers</t>
        </is>
      </c>
      <c r="C167" t="inlineStr">
        <is>
          <t>USB A-C Cable</t>
        </is>
      </c>
      <c r="D167" t="inlineStr">
        <is>
          <t>USB A-C Cable</t>
        </is>
      </c>
    </row>
    <row r="168">
      <c r="A168" s="8" t="inlineStr">
        <is>
          <t>V09</t>
        </is>
      </c>
      <c r="B168" s="9" t="inlineStr">
        <is>
          <t>Vertical Hangers</t>
        </is>
      </c>
      <c r="C168" t="inlineStr"/>
    </row>
    <row r="169">
      <c r="A169" s="8" t="inlineStr">
        <is>
          <t>V10</t>
        </is>
      </c>
      <c r="B169" s="9" t="inlineStr">
        <is>
          <t>Vertical Hangers</t>
        </is>
      </c>
      <c r="C169" t="inlineStr"/>
    </row>
    <row r="170">
      <c r="A170" s="8" t="inlineStr">
        <is>
          <t>V11</t>
        </is>
      </c>
      <c r="B170" s="9" t="inlineStr">
        <is>
          <t>Vertical Hangers</t>
        </is>
      </c>
      <c r="C170" t="inlineStr"/>
    </row>
    <row r="171">
      <c r="A171" s="8" t="inlineStr">
        <is>
          <t>V12</t>
        </is>
      </c>
      <c r="B171" s="9" t="inlineStr">
        <is>
          <t>Vertical Hangers</t>
        </is>
      </c>
      <c r="C171" t="inlineStr"/>
    </row>
    <row r="172">
      <c r="A172" s="8" t="inlineStr">
        <is>
          <t>E01</t>
        </is>
      </c>
      <c r="B172" s="9" t="inlineStr">
        <is>
          <t>External / Protected Storage</t>
        </is>
      </c>
      <c r="C172" t="inlineStr">
        <is>
          <t>Robot Brain</t>
        </is>
      </c>
      <c r="D172" t="inlineStr">
        <is>
          <t>Robot Brain (2nd generation)</t>
        </is>
      </c>
    </row>
    <row r="173">
      <c r="A173" s="8" t="inlineStr">
        <is>
          <t>E02</t>
        </is>
      </c>
      <c r="B173" s="9" t="inlineStr">
        <is>
          <t>External / Protected Storage</t>
        </is>
      </c>
      <c r="C173" t="inlineStr">
        <is>
          <t>Controller</t>
        </is>
      </c>
      <c r="D173" t="inlineStr">
        <is>
          <t>Controller (2nd Generation)</t>
        </is>
      </c>
    </row>
    <row r="174">
      <c r="A174" s="8" t="inlineStr">
        <is>
          <t>E03</t>
        </is>
      </c>
      <c r="B174" s="9" t="inlineStr">
        <is>
          <t>External / Protected Storage</t>
        </is>
      </c>
      <c r="C174" t="inlineStr">
        <is>
          <t>Robot Battery</t>
        </is>
      </c>
      <c r="D174" t="inlineStr">
        <is>
          <t>Robot Battery (Li-Ion, 2000 mAh)</t>
        </is>
      </c>
    </row>
    <row r="175">
      <c r="A175" s="8" t="inlineStr">
        <is>
          <t>E04</t>
        </is>
      </c>
      <c r="B175" s="9" t="inlineStr">
        <is>
          <t>External / Protected Storage</t>
        </is>
      </c>
      <c r="C175" t="inlineStr">
        <is>
          <t>Smart Motors</t>
        </is>
      </c>
      <c r="D175" t="inlineStr">
        <is>
          <t>Smart Motor</t>
        </is>
      </c>
    </row>
    <row r="176">
      <c r="A176" s="8" t="inlineStr">
        <is>
          <t>E05</t>
        </is>
      </c>
      <c r="B176" s="9" t="inlineStr">
        <is>
          <t>External / Protected Storage</t>
        </is>
      </c>
      <c r="C176" t="inlineStr"/>
    </row>
    <row r="177">
      <c r="A177" s="8" t="inlineStr">
        <is>
          <t>E06</t>
        </is>
      </c>
      <c r="B177" s="9" t="inlineStr">
        <is>
          <t>External / Protected Storage</t>
        </is>
      </c>
      <c r="C177" t="inlineStr"/>
    </row>
    <row r="178">
      <c r="A178" s="8" t="inlineStr">
        <is>
          <t>E07</t>
        </is>
      </c>
      <c r="B178" s="9" t="inlineStr">
        <is>
          <t>External / Protected Storage</t>
        </is>
      </c>
      <c r="C178" t="inlineStr"/>
    </row>
    <row r="179">
      <c r="A179" s="8" t="inlineStr">
        <is>
          <t>E08</t>
        </is>
      </c>
      <c r="B179" s="9" t="inlineStr">
        <is>
          <t>External / Protected Storage</t>
        </is>
      </c>
      <c r="C179" t="inlineStr"/>
    </row>
  </sheetData>
  <autoFilter ref="A1:H179"/>
  <conditionalFormatting sqref="D2:H179">
    <cfRule type="expression" priority="1" dxfId="0">
      <formula>AND(D2&lt;&gt;"",COUNTIF($D$2:$H$179,D2)&gt;1)</formula>
    </cfRule>
  </conditionalFormatting>
  <dataValidations count="1">
    <dataValidation sqref="D2:H179" showDropDown="0" showInputMessage="0" showErrorMessage="1" allowBlank="1" errorTitle="Not a known part" error="Pick a part name from the suggestions (see the Parts tab)." type="list">
      <formula1>=Parts!$A$2:$A$163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8" customWidth="1" min="2" max="2"/>
    <col width="16" customWidth="1" min="3" max="3"/>
    <col width="7" customWidth="1" min="4" max="4"/>
    <col width="40" customWidth="1" min="5" max="5"/>
  </cols>
  <sheetData>
    <row r="1">
      <c r="A1" s="1" t="inlineStr">
        <is>
          <t>Part name</t>
        </is>
      </c>
      <c r="B1" s="1" t="inlineStr">
        <is>
          <t>Category</t>
        </is>
      </c>
      <c r="C1" s="1" t="inlineStr">
        <is>
          <t>In bin(s)</t>
        </is>
      </c>
      <c r="D1" s="1" t="inlineStr">
        <is>
          <t>Bins</t>
        </is>
      </c>
      <c r="E1" s="1" t="inlineStr">
        <is>
          <t>Part numbers</t>
        </is>
      </c>
    </row>
    <row r="2">
      <c r="A2" t="inlineStr">
        <is>
          <t>1x2 Beam</t>
        </is>
      </c>
      <c r="B2" t="inlineStr">
        <is>
          <t>Beams &amp; Plates</t>
        </is>
      </c>
      <c r="C2" s="10">
        <f t="array" ref="C2">TEXTJOIN(", ",TRUE,IF((Bins!$D$2:$D$179=A2)+(Bins!$E$2:$E$179=A2)+(Bins!$F$2:$F$179=A2)+(Bins!$G$2:$G$179=A2)+(Bins!$H$2:$H$179=A2),Bins!$A$2:$A$179,""))</f>
        <v/>
      </c>
      <c r="D2" s="10">
        <f>COUNTIF(Bins!$D$2:$H$179,A2)</f>
        <v/>
      </c>
      <c r="E2" t="inlineStr">
        <is>
          <t>228-2500-001</t>
        </is>
      </c>
    </row>
    <row r="3">
      <c r="A3" t="inlineStr">
        <is>
          <t>2x Pitch Shaft</t>
        </is>
      </c>
      <c r="B3" t="inlineStr">
        <is>
          <t>Shafts &amp; Rotation</t>
        </is>
      </c>
      <c r="C3" s="10">
        <f t="array" ref="C3">TEXTJOIN(", ",TRUE,IF((Bins!$D$2:$D$179=A3)+(Bins!$E$2:$E$179=A3)+(Bins!$F$2:$F$179=A3)+(Bins!$G$2:$G$179=A3)+(Bins!$H$2:$H$179=A3),Bins!$A$2:$A$179,""))</f>
        <v/>
      </c>
      <c r="D3" s="10">
        <f>COUNTIF(Bins!$D$2:$H$179,A3)</f>
        <v/>
      </c>
      <c r="E3" t="inlineStr">
        <is>
          <t>228-2500-117</t>
        </is>
      </c>
    </row>
    <row r="4">
      <c r="A4" t="inlineStr">
        <is>
          <t>1x4 Beam</t>
        </is>
      </c>
      <c r="B4" t="inlineStr">
        <is>
          <t>Beams &amp; Plates</t>
        </is>
      </c>
      <c r="C4" s="10">
        <f t="array" ref="C4">TEXTJOIN(", ",TRUE,IF((Bins!$D$2:$D$179=A4)+(Bins!$E$2:$E$179=A4)+(Bins!$F$2:$F$179=A4)+(Bins!$G$2:$G$179=A4)+(Bins!$H$2:$H$179=A4),Bins!$A$2:$A$179,""))</f>
        <v/>
      </c>
      <c r="D4" s="10">
        <f>COUNTIF(Bins!$D$2:$H$179,A4)</f>
        <v/>
      </c>
      <c r="E4" t="inlineStr">
        <is>
          <t>228-2500-003, 228-3616-003</t>
        </is>
      </c>
    </row>
    <row r="5">
      <c r="A5" t="inlineStr">
        <is>
          <t>4x Pitch Shaft</t>
        </is>
      </c>
      <c r="B5" t="inlineStr">
        <is>
          <t>Shafts &amp; Rotation</t>
        </is>
      </c>
      <c r="C5" s="10">
        <f t="array" ref="C5">TEXTJOIN(", ",TRUE,IF((Bins!$D$2:$D$179=A5)+(Bins!$E$2:$E$179=A5)+(Bins!$F$2:$F$179=A5)+(Bins!$G$2:$G$179=A5)+(Bins!$H$2:$H$179=A5),Bins!$A$2:$A$179,""))</f>
        <v/>
      </c>
      <c r="D5" s="10">
        <f>COUNTIF(Bins!$D$2:$H$179,A5)</f>
        <v/>
      </c>
      <c r="E5" t="inlineStr">
        <is>
          <t>228-2500-120</t>
        </is>
      </c>
    </row>
    <row r="6">
      <c r="A6" t="inlineStr">
        <is>
          <t>1x6 Beam</t>
        </is>
      </c>
      <c r="B6" t="inlineStr">
        <is>
          <t>Beams &amp; Plates</t>
        </is>
      </c>
      <c r="C6" s="10">
        <f t="array" ref="C6">TEXTJOIN(", ",TRUE,IF((Bins!$D$2:$D$179=A6)+(Bins!$E$2:$E$179=A6)+(Bins!$F$2:$F$179=A6)+(Bins!$G$2:$G$179=A6)+(Bins!$H$2:$H$179=A6),Bins!$A$2:$A$179,""))</f>
        <v/>
      </c>
      <c r="D6" s="10">
        <f>COUNTIF(Bins!$D$2:$H$179,A6)</f>
        <v/>
      </c>
      <c r="E6" t="inlineStr">
        <is>
          <t>228-2500-005, 228-3616-005</t>
        </is>
      </c>
    </row>
    <row r="7">
      <c r="A7" t="inlineStr">
        <is>
          <t>6x Pitch Shaft</t>
        </is>
      </c>
      <c r="B7" t="inlineStr">
        <is>
          <t>Shafts &amp; Rotation</t>
        </is>
      </c>
      <c r="C7" s="10">
        <f t="array" ref="C7">TEXTJOIN(", ",TRUE,IF((Bins!$D$2:$D$179=A7)+(Bins!$E$2:$E$179=A7)+(Bins!$F$2:$F$179=A7)+(Bins!$G$2:$G$179=A7)+(Bins!$H$2:$H$179=A7),Bins!$A$2:$A$179,""))</f>
        <v/>
      </c>
      <c r="D7" s="10">
        <f>COUNTIF(Bins!$D$2:$H$179,A7)</f>
        <v/>
      </c>
      <c r="E7" t="inlineStr">
        <is>
          <t>228-2500-122</t>
        </is>
      </c>
    </row>
    <row r="8">
      <c r="A8" t="inlineStr">
        <is>
          <t>1x8 Beam</t>
        </is>
      </c>
      <c r="B8" t="inlineStr">
        <is>
          <t>Beams &amp; Plates</t>
        </is>
      </c>
      <c r="C8" s="10">
        <f t="array" ref="C8">TEXTJOIN(", ",TRUE,IF((Bins!$D$2:$D$179=A8)+(Bins!$E$2:$E$179=A8)+(Bins!$F$2:$F$179=A8)+(Bins!$G$2:$G$179=A8)+(Bins!$H$2:$H$179=A8),Bins!$A$2:$A$179,""))</f>
        <v/>
      </c>
      <c r="D8" s="10">
        <f>COUNTIF(Bins!$D$2:$H$179,A8)</f>
        <v/>
      </c>
      <c r="E8" t="inlineStr">
        <is>
          <t>228-2500-007, 228-3616-007</t>
        </is>
      </c>
    </row>
    <row r="9">
      <c r="A9" t="inlineStr">
        <is>
          <t>8x Pitch Shaft</t>
        </is>
      </c>
      <c r="B9" t="inlineStr">
        <is>
          <t>Shafts &amp; Rotation</t>
        </is>
      </c>
      <c r="C9" s="10">
        <f t="array" ref="C9">TEXTJOIN(", ",TRUE,IF((Bins!$D$2:$D$179=A9)+(Bins!$E$2:$E$179=A9)+(Bins!$F$2:$F$179=A9)+(Bins!$G$2:$G$179=A9)+(Bins!$H$2:$H$179=A9),Bins!$A$2:$A$179,""))</f>
        <v/>
      </c>
      <c r="D9" s="10">
        <f>COUNTIF(Bins!$D$2:$H$179,A9)</f>
        <v/>
      </c>
      <c r="E9" t="inlineStr">
        <is>
          <t>228-2500-124</t>
        </is>
      </c>
    </row>
    <row r="10">
      <c r="A10" t="inlineStr">
        <is>
          <t>1x10 Beam</t>
        </is>
      </c>
      <c r="B10" t="inlineStr">
        <is>
          <t>Beams &amp; Plates</t>
        </is>
      </c>
      <c r="C10" s="10">
        <f t="array" ref="C10">TEXTJOIN(", ",TRUE,IF((Bins!$D$2:$D$179=A10)+(Bins!$E$2:$E$179=A10)+(Bins!$F$2:$F$179=A10)+(Bins!$G$2:$G$179=A10)+(Bins!$H$2:$H$179=A10),Bins!$A$2:$A$179,""))</f>
        <v/>
      </c>
      <c r="D10" s="10">
        <f>COUNTIF(Bins!$D$2:$H$179,A10)</f>
        <v/>
      </c>
      <c r="E10" t="inlineStr">
        <is>
          <t>228-2500-009, 228-3616-009</t>
        </is>
      </c>
    </row>
    <row r="11">
      <c r="A11" t="inlineStr">
        <is>
          <t>2x10 Beam</t>
        </is>
      </c>
      <c r="B11" t="inlineStr">
        <is>
          <t>Beams &amp; Plates</t>
        </is>
      </c>
      <c r="C11" s="10">
        <f t="array" ref="C11">TEXTJOIN(", ",TRUE,IF((Bins!$D$2:$D$179=A11)+(Bins!$E$2:$E$179=A11)+(Bins!$F$2:$F$179=A11)+(Bins!$G$2:$G$179=A11)+(Bins!$H$2:$H$179=A11),Bins!$A$2:$A$179,""))</f>
        <v/>
      </c>
      <c r="D11" s="10">
        <f>COUNTIF(Bins!$D$2:$H$179,A11)</f>
        <v/>
      </c>
      <c r="E11" t="inlineStr">
        <is>
          <t>228-2500-025, 228-3616-025</t>
        </is>
      </c>
    </row>
    <row r="12">
      <c r="A12" t="inlineStr">
        <is>
          <t>2x2 Beam</t>
        </is>
      </c>
      <c r="B12" t="inlineStr">
        <is>
          <t>Beams &amp; Plates</t>
        </is>
      </c>
      <c r="C12" s="10">
        <f t="array" ref="C12">TEXTJOIN(", ",TRUE,IF((Bins!$D$2:$D$179=A12)+(Bins!$E$2:$E$179=A12)+(Bins!$F$2:$F$179=A12)+(Bins!$G$2:$G$179=A12)+(Bins!$H$2:$H$179=A12),Bins!$A$2:$A$179,""))</f>
        <v/>
      </c>
      <c r="D12" s="10">
        <f>COUNTIF(Bins!$D$2:$H$179,A12)</f>
        <v/>
      </c>
      <c r="E12" t="inlineStr">
        <is>
          <t>228-2500-017, 228-3616-017</t>
        </is>
      </c>
    </row>
    <row r="13">
      <c r="A13" t="inlineStr">
        <is>
          <t>2x4 Beam</t>
        </is>
      </c>
      <c r="B13" t="inlineStr">
        <is>
          <t>Beams &amp; Plates</t>
        </is>
      </c>
      <c r="C13" s="10">
        <f t="array" ref="C13">TEXTJOIN(", ",TRUE,IF((Bins!$D$2:$D$179=A13)+(Bins!$E$2:$E$179=A13)+(Bins!$F$2:$F$179=A13)+(Bins!$G$2:$G$179=A13)+(Bins!$H$2:$H$179=A13),Bins!$A$2:$A$179,""))</f>
        <v/>
      </c>
      <c r="D13" s="10">
        <f>COUNTIF(Bins!$D$2:$H$179,A13)</f>
        <v/>
      </c>
      <c r="E13" t="inlineStr">
        <is>
          <t>228-2500-019, 228-3616-019</t>
        </is>
      </c>
    </row>
    <row r="14">
      <c r="A14" t="inlineStr">
        <is>
          <t>2x6 Beam</t>
        </is>
      </c>
      <c r="B14" t="inlineStr">
        <is>
          <t>Beams &amp; Plates</t>
        </is>
      </c>
      <c r="C14" s="10">
        <f t="array" ref="C14">TEXTJOIN(", ",TRUE,IF((Bins!$D$2:$D$179=A14)+(Bins!$E$2:$E$179=A14)+(Bins!$F$2:$F$179=A14)+(Bins!$G$2:$G$179=A14)+(Bins!$H$2:$H$179=A14),Bins!$A$2:$A$179,""))</f>
        <v/>
      </c>
      <c r="D14" s="10">
        <f>COUNTIF(Bins!$D$2:$H$179,A14)</f>
        <v/>
      </c>
      <c r="E14" t="inlineStr">
        <is>
          <t>228-2500-021, 228-3616-021</t>
        </is>
      </c>
    </row>
    <row r="15">
      <c r="A15" t="inlineStr">
        <is>
          <t>2x7 Beam</t>
        </is>
      </c>
      <c r="B15" t="inlineStr">
        <is>
          <t>Beams &amp; Plates</t>
        </is>
      </c>
      <c r="C15" s="10">
        <f t="array" ref="C15">TEXTJOIN(", ",TRUE,IF((Bins!$D$2:$D$179=A15)+(Bins!$E$2:$E$179=A15)+(Bins!$F$2:$F$179=A15)+(Bins!$G$2:$G$179=A15)+(Bins!$H$2:$H$179=A15),Bins!$A$2:$A$179,""))</f>
        <v/>
      </c>
      <c r="D15" s="10">
        <f>COUNTIF(Bins!$D$2:$H$179,A15)</f>
        <v/>
      </c>
      <c r="E15" t="inlineStr">
        <is>
          <t>228-2500-022</t>
        </is>
      </c>
    </row>
    <row r="16">
      <c r="A16" t="inlineStr">
        <is>
          <t>2x8 Beam</t>
        </is>
      </c>
      <c r="B16" t="inlineStr">
        <is>
          <t>Beams &amp; Plates</t>
        </is>
      </c>
      <c r="C16" s="10">
        <f t="array" ref="C16">TEXTJOIN(", ",TRUE,IF((Bins!$D$2:$D$179=A16)+(Bins!$E$2:$E$179=A16)+(Bins!$F$2:$F$179=A16)+(Bins!$G$2:$G$179=A16)+(Bins!$H$2:$H$179=A16),Bins!$A$2:$A$179,""))</f>
        <v/>
      </c>
      <c r="D16" s="10">
        <f>COUNTIF(Bins!$D$2:$H$179,A16)</f>
        <v/>
      </c>
      <c r="E16" t="inlineStr">
        <is>
          <t>228-2500-023, 228-3616-023</t>
        </is>
      </c>
    </row>
    <row r="17">
      <c r="A17" t="inlineStr">
        <is>
          <t>2x8 Smooth Panel</t>
        </is>
      </c>
      <c r="B17" t="inlineStr">
        <is>
          <t>Beams &amp; Plates</t>
        </is>
      </c>
      <c r="C17" s="10">
        <f t="array" ref="C17">TEXTJOIN(", ",TRUE,IF((Bins!$D$2:$D$179=A17)+(Bins!$E$2:$E$179=A17)+(Bins!$F$2:$F$179=A17)+(Bins!$G$2:$G$179=A17)+(Bins!$H$2:$H$179=A17),Bins!$A$2:$A$179,""))</f>
        <v/>
      </c>
      <c r="D17" s="10">
        <f>COUNTIF(Bins!$D$2:$H$179,A17)</f>
        <v/>
      </c>
      <c r="E17" t="inlineStr">
        <is>
          <t>228-2500-524</t>
        </is>
      </c>
    </row>
    <row r="18">
      <c r="A18" t="inlineStr">
        <is>
          <t>2x3 Right Angle Beam</t>
        </is>
      </c>
      <c r="B18" t="inlineStr">
        <is>
          <t>Beams &amp; Plates</t>
        </is>
      </c>
      <c r="C18" s="10">
        <f t="array" ref="C18">TEXTJOIN(", ",TRUE,IF((Bins!$D$2:$D$179=A18)+(Bins!$E$2:$E$179=A18)+(Bins!$F$2:$F$179=A18)+(Bins!$G$2:$G$179=A18)+(Bins!$H$2:$H$179=A18),Bins!$A$2:$A$179,""))</f>
        <v/>
      </c>
      <c r="D18" s="10">
        <f>COUNTIF(Bins!$D$2:$H$179,A18)</f>
        <v/>
      </c>
      <c r="E18" t="inlineStr">
        <is>
          <t>228-2500-145, 228-3616-145</t>
        </is>
      </c>
    </row>
    <row r="19">
      <c r="A19" t="inlineStr">
        <is>
          <t>3x4 Tee Beam</t>
        </is>
      </c>
      <c r="B19" t="inlineStr">
        <is>
          <t>Beams &amp; Plates</t>
        </is>
      </c>
      <c r="C19" s="10">
        <f t="array" ref="C19">TEXTJOIN(", ",TRUE,IF((Bins!$D$2:$D$179=A19)+(Bins!$E$2:$E$179=A19)+(Bins!$F$2:$F$179=A19)+(Bins!$G$2:$G$179=A19)+(Bins!$H$2:$H$179=A19),Bins!$A$2:$A$179,""))</f>
        <v/>
      </c>
      <c r="D19" s="10">
        <f>COUNTIF(Bins!$D$2:$H$179,A19)</f>
        <v/>
      </c>
      <c r="E19" t="inlineStr">
        <is>
          <t>228-2500-144, 228-3616-144</t>
        </is>
      </c>
    </row>
    <row r="20">
      <c r="A20" t="inlineStr">
        <is>
          <t>3x5 Right Angle Beam</t>
        </is>
      </c>
      <c r="B20" t="inlineStr">
        <is>
          <t>Beams &amp; Plates</t>
        </is>
      </c>
      <c r="C20" s="10">
        <f t="array" ref="C20">TEXTJOIN(", ",TRUE,IF((Bins!$D$2:$D$179=A20)+(Bins!$E$2:$E$179=A20)+(Bins!$F$2:$F$179=A20)+(Bins!$G$2:$G$179=A20)+(Bins!$H$2:$H$179=A20),Bins!$A$2:$A$179,""))</f>
        <v/>
      </c>
      <c r="D20" s="10">
        <f>COUNTIF(Bins!$D$2:$H$179,A20)</f>
        <v/>
      </c>
      <c r="E20" t="inlineStr">
        <is>
          <t>228-2500-150, 228-3616-150</t>
        </is>
      </c>
    </row>
    <row r="21">
      <c r="A21" t="inlineStr">
        <is>
          <t>4x4 Offset Right Angle Beam</t>
        </is>
      </c>
      <c r="B21" t="inlineStr">
        <is>
          <t>Beams &amp; Plates</t>
        </is>
      </c>
      <c r="C21" s="10">
        <f t="array" ref="C21">TEXTJOIN(", ",TRUE,IF((Bins!$D$2:$D$179=A21)+(Bins!$E$2:$E$179=A21)+(Bins!$F$2:$F$179=A21)+(Bins!$G$2:$G$179=A21)+(Bins!$H$2:$H$179=A21),Bins!$A$2:$A$179,""))</f>
        <v/>
      </c>
      <c r="D21" s="10">
        <f>COUNTIF(Bins!$D$2:$H$179,A21)</f>
        <v/>
      </c>
      <c r="E21" t="inlineStr">
        <is>
          <t>228-2500-151, 228-3616-151</t>
        </is>
      </c>
    </row>
    <row r="22">
      <c r="A22" t="inlineStr">
        <is>
          <t>3x3 30 Degree Angle Beam</t>
        </is>
      </c>
      <c r="B22" t="inlineStr">
        <is>
          <t>Beams &amp; Plates</t>
        </is>
      </c>
      <c r="C22" s="10">
        <f t="array" ref="C22">TEXTJOIN(", ",TRUE,IF((Bins!$D$2:$D$179=A22)+(Bins!$E$2:$E$179=A22)+(Bins!$F$2:$F$179=A22)+(Bins!$G$2:$G$179=A22)+(Bins!$H$2:$H$179=A22),Bins!$A$2:$A$179,""))</f>
        <v/>
      </c>
      <c r="D22" s="10">
        <f>COUNTIF(Bins!$D$2:$H$179,A22)</f>
        <v/>
      </c>
      <c r="E22" t="inlineStr">
        <is>
          <t>228-2500-147, 228-3616-147</t>
        </is>
      </c>
    </row>
    <row r="23">
      <c r="A23" t="inlineStr">
        <is>
          <t>3x3 45 Degree Angle Beam</t>
        </is>
      </c>
      <c r="B23" t="inlineStr">
        <is>
          <t>Beams &amp; Plates</t>
        </is>
      </c>
      <c r="C23" s="10">
        <f t="array" ref="C23">TEXTJOIN(", ",TRUE,IF((Bins!$D$2:$D$179=A23)+(Bins!$E$2:$E$179=A23)+(Bins!$F$2:$F$179=A23)+(Bins!$G$2:$G$179=A23)+(Bins!$H$2:$H$179=A23),Bins!$A$2:$A$179,""))</f>
        <v/>
      </c>
      <c r="D23" s="10">
        <f>COUNTIF(Bins!$D$2:$H$179,A23)</f>
        <v/>
      </c>
      <c r="E23" t="inlineStr">
        <is>
          <t>228-2500-148, 228-3616-148</t>
        </is>
      </c>
    </row>
    <row r="24">
      <c r="A24" t="inlineStr">
        <is>
          <t>3x3 60 Degree Angle Beam</t>
        </is>
      </c>
      <c r="B24" t="inlineStr">
        <is>
          <t>Beams &amp; Plates</t>
        </is>
      </c>
      <c r="C24" s="10">
        <f t="array" ref="C24">TEXTJOIN(", ",TRUE,IF((Bins!$D$2:$D$179=A24)+(Bins!$E$2:$E$179=A24)+(Bins!$F$2:$F$179=A24)+(Bins!$G$2:$G$179=A24)+(Bins!$H$2:$H$179=A24),Bins!$A$2:$A$179,""))</f>
        <v/>
      </c>
      <c r="D24" s="10">
        <f>COUNTIF(Bins!$D$2:$H$179,A24)</f>
        <v/>
      </c>
      <c r="E24" t="inlineStr">
        <is>
          <t>228-2500-149, 228-3616-149</t>
        </is>
      </c>
    </row>
    <row r="25">
      <c r="A25" t="inlineStr">
        <is>
          <t>3x3 Plus Gusset Beam</t>
        </is>
      </c>
      <c r="B25" t="inlineStr">
        <is>
          <t>Beams &amp; Plates</t>
        </is>
      </c>
      <c r="C25" s="10">
        <f t="array" ref="C25">TEXTJOIN(", ",TRUE,IF((Bins!$D$2:$D$179=A25)+(Bins!$E$2:$E$179=A25)+(Bins!$F$2:$F$179=A25)+(Bins!$G$2:$G$179=A25)+(Bins!$H$2:$H$179=A25),Bins!$A$2:$A$179,""))</f>
        <v/>
      </c>
      <c r="D25" s="10">
        <f>COUNTIF(Bins!$D$2:$H$179,A25)</f>
        <v/>
      </c>
      <c r="E25" t="inlineStr">
        <is>
          <t>228-3616-156</t>
        </is>
      </c>
    </row>
    <row r="26">
      <c r="A26" t="inlineStr">
        <is>
          <t>Washer</t>
        </is>
      </c>
      <c r="B26" t="inlineStr">
        <is>
          <t>Shafts &amp; Rotation</t>
        </is>
      </c>
      <c r="C26" s="10">
        <f t="array" ref="C26">TEXTJOIN(", ",TRUE,IF((Bins!$D$2:$D$179=A26)+(Bins!$E$2:$E$179=A26)+(Bins!$F$2:$F$179=A26)+(Bins!$G$2:$G$179=A26)+(Bins!$H$2:$H$179=A26),Bins!$A$2:$A$179,""))</f>
        <v/>
      </c>
      <c r="D26" s="10">
        <f>COUNTIF(Bins!$D$2:$H$179,A26)</f>
        <v/>
      </c>
      <c r="E26" t="inlineStr">
        <is>
          <t>228-2500-112, 228-3201-112</t>
        </is>
      </c>
    </row>
    <row r="27">
      <c r="A27" t="inlineStr">
        <is>
          <t>Rubber Shaft Collar</t>
        </is>
      </c>
      <c r="B27" t="inlineStr">
        <is>
          <t>Shafts &amp; Rotation</t>
        </is>
      </c>
      <c r="C27" s="10">
        <f t="array" ref="C27">TEXTJOIN(", ",TRUE,IF((Bins!$D$2:$D$179=A27)+(Bins!$E$2:$E$179=A27)+(Bins!$F$2:$F$179=A27)+(Bins!$G$2:$G$179=A27)+(Bins!$H$2:$H$179=A27),Bins!$A$2:$A$179,""))</f>
        <v/>
      </c>
      <c r="D27" s="10">
        <f>COUNTIF(Bins!$D$2:$H$179,A27)</f>
        <v/>
      </c>
      <c r="E27" t="inlineStr">
        <is>
          <t>228-2500-143</t>
        </is>
      </c>
    </row>
    <row r="28">
      <c r="A28" t="inlineStr">
        <is>
          <t>1x1 Connector Pin</t>
        </is>
      </c>
      <c r="B28" t="inlineStr">
        <is>
          <t>Pins &amp; Standoffs</t>
        </is>
      </c>
      <c r="C28" s="10">
        <f t="array" ref="C28">TEXTJOIN(", ",TRUE,IF((Bins!$D$2:$D$179=A28)+(Bins!$E$2:$E$179=A28)+(Bins!$F$2:$F$179=A28)+(Bins!$G$2:$G$179=A28)+(Bins!$H$2:$H$179=A28),Bins!$A$2:$A$179,""))</f>
        <v/>
      </c>
      <c r="D28" s="10">
        <f>COUNTIF(Bins!$D$2:$H$179,A28)</f>
        <v/>
      </c>
      <c r="E28" t="inlineStr">
        <is>
          <t>228-2500-060, 228-3196-060</t>
        </is>
      </c>
    </row>
    <row r="29">
      <c r="A29" t="inlineStr">
        <is>
          <t>1x2 Connector Pin</t>
        </is>
      </c>
      <c r="B29" t="inlineStr">
        <is>
          <t>Pins &amp; Standoffs</t>
        </is>
      </c>
      <c r="C29" s="10">
        <f t="array" ref="C29">TEXTJOIN(", ",TRUE,IF((Bins!$D$2:$D$179=A29)+(Bins!$E$2:$E$179=A29)+(Bins!$F$2:$F$179=A29)+(Bins!$G$2:$G$179=A29)+(Bins!$H$2:$H$179=A29),Bins!$A$2:$A$179,""))</f>
        <v/>
      </c>
      <c r="D29" s="10">
        <f>COUNTIF(Bins!$D$2:$H$179,A29)</f>
        <v/>
      </c>
      <c r="E29" t="inlineStr">
        <is>
          <t>228-2500-061, 228-3196-061</t>
        </is>
      </c>
    </row>
    <row r="30">
      <c r="A30" t="inlineStr">
        <is>
          <t>2x2 Connector Pin</t>
        </is>
      </c>
      <c r="B30" t="inlineStr">
        <is>
          <t>Pins &amp; Standoffs</t>
        </is>
      </c>
      <c r="C30" s="10">
        <f t="array" ref="C30">TEXTJOIN(", ",TRUE,IF((Bins!$D$2:$D$179=A30)+(Bins!$E$2:$E$179=A30)+(Bins!$F$2:$F$179=A30)+(Bins!$G$2:$G$179=A30)+(Bins!$H$2:$H$179=A30),Bins!$A$2:$A$179,""))</f>
        <v/>
      </c>
      <c r="D30" s="10">
        <f>COUNTIF(Bins!$D$2:$H$179,A30)</f>
        <v/>
      </c>
      <c r="E30" t="inlineStr">
        <is>
          <t>228-2500-062, 228-3196-062</t>
        </is>
      </c>
    </row>
    <row r="31">
      <c r="A31" t="inlineStr">
        <is>
          <t>Large Chassis Corner Connector</t>
        </is>
      </c>
      <c r="B31" t="inlineStr">
        <is>
          <t>Connectors</t>
        </is>
      </c>
      <c r="C31" s="10">
        <f t="array" ref="C31">TEXTJOIN(", ",TRUE,IF((Bins!$D$2:$D$179=A31)+(Bins!$E$2:$E$179=A31)+(Bins!$F$2:$F$179=A31)+(Bins!$G$2:$G$179=A31)+(Bins!$H$2:$H$179=A31),Bins!$A$2:$A$179,""))</f>
        <v/>
      </c>
      <c r="D31" s="10">
        <f>COUNTIF(Bins!$D$2:$H$179,A31)</f>
        <v/>
      </c>
      <c r="E31" t="inlineStr">
        <is>
          <t>228-2500-126, 228-3201-126</t>
        </is>
      </c>
    </row>
    <row r="32">
      <c r="A32" t="inlineStr">
        <is>
          <t>Small Chassis Corner Connector</t>
        </is>
      </c>
      <c r="B32" t="inlineStr">
        <is>
          <t>Connectors</t>
        </is>
      </c>
      <c r="C32" s="10">
        <f t="array" ref="C32">TEXTJOIN(", ",TRUE,IF((Bins!$D$2:$D$179=A32)+(Bins!$E$2:$E$179=A32)+(Bins!$F$2:$F$179=A32)+(Bins!$G$2:$G$179=A32)+(Bins!$H$2:$H$179=A32),Bins!$A$2:$A$179,""))</f>
        <v/>
      </c>
      <c r="D32" s="10">
        <f>COUNTIF(Bins!$D$2:$H$179,A32)</f>
        <v/>
      </c>
      <c r="E32" t="inlineStr">
        <is>
          <t>228-2500-127, 228-3201-127</t>
        </is>
      </c>
    </row>
    <row r="33">
      <c r="A33" t="inlineStr">
        <is>
          <t>1x Wide, 1x1 Offset Corner Connector</t>
        </is>
      </c>
      <c r="B33" t="inlineStr">
        <is>
          <t>Connectors</t>
        </is>
      </c>
      <c r="C33" s="10">
        <f t="array" ref="C33">TEXTJOIN(", ",TRUE,IF((Bins!$D$2:$D$179=A33)+(Bins!$E$2:$E$179=A33)+(Bins!$F$2:$F$179=A33)+(Bins!$G$2:$G$179=A33)+(Bins!$H$2:$H$179=A33),Bins!$A$2:$A$179,""))</f>
        <v/>
      </c>
      <c r="D33" s="10">
        <f>COUNTIF(Bins!$D$2:$H$179,A33)</f>
        <v/>
      </c>
      <c r="E33" t="inlineStr">
        <is>
          <t>228-2500-130, 228-3201-130</t>
        </is>
      </c>
    </row>
    <row r="34">
      <c r="A34" t="inlineStr">
        <is>
          <t>2x Wide, 1x2 Corner Connector</t>
        </is>
      </c>
      <c r="B34" t="inlineStr">
        <is>
          <t>Connectors</t>
        </is>
      </c>
      <c r="C34" s="10">
        <f t="array" ref="C34">TEXTJOIN(", ",TRUE,IF((Bins!$D$2:$D$179=A34)+(Bins!$E$2:$E$179=A34)+(Bins!$F$2:$F$179=A34)+(Bins!$G$2:$G$179=A34)+(Bins!$H$2:$H$179=A34),Bins!$A$2:$A$179,""))</f>
        <v/>
      </c>
      <c r="D34" s="10">
        <f>COUNTIF(Bins!$D$2:$H$179,A34)</f>
        <v/>
      </c>
      <c r="E34" t="inlineStr">
        <is>
          <t>228-2500-128, 228-3201-128</t>
        </is>
      </c>
    </row>
    <row r="35">
      <c r="A35" t="inlineStr">
        <is>
          <t>2x Wide, 1x2 Offset Corner Connector</t>
        </is>
      </c>
      <c r="B35" t="inlineStr">
        <is>
          <t>Connectors</t>
        </is>
      </c>
      <c r="C35" s="10">
        <f t="array" ref="C35">TEXTJOIN(", ",TRUE,IF((Bins!$D$2:$D$179=A35)+(Bins!$E$2:$E$179=A35)+(Bins!$F$2:$F$179=A35)+(Bins!$G$2:$G$179=A35)+(Bins!$H$2:$H$179=A35),Bins!$A$2:$A$179,""))</f>
        <v/>
      </c>
      <c r="D35" s="10">
        <f>COUNTIF(Bins!$D$2:$H$179,A35)</f>
        <v/>
      </c>
      <c r="E35" t="inlineStr">
        <is>
          <t>228-2500-135, 228-3201-135</t>
        </is>
      </c>
    </row>
    <row r="36">
      <c r="A36" t="inlineStr">
        <is>
          <t>2x Wide, 2x2 Corner Connector</t>
        </is>
      </c>
      <c r="B36" t="inlineStr">
        <is>
          <t>Connectors</t>
        </is>
      </c>
      <c r="C36" s="10">
        <f t="array" ref="C36">TEXTJOIN(", ",TRUE,IF((Bins!$D$2:$D$179=A36)+(Bins!$E$2:$E$179=A36)+(Bins!$F$2:$F$179=A36)+(Bins!$G$2:$G$179=A36)+(Bins!$H$2:$H$179=A36),Bins!$A$2:$A$179,""))</f>
        <v/>
      </c>
      <c r="D36" s="10">
        <f>COUNTIF(Bins!$D$2:$H$179,A36)</f>
        <v/>
      </c>
      <c r="E36" t="inlineStr">
        <is>
          <t>228-2500-134, 228-3201-134</t>
        </is>
      </c>
    </row>
    <row r="37">
      <c r="A37" t="inlineStr">
        <is>
          <t>1x Wide, 1x1 Corner Connector</t>
        </is>
      </c>
      <c r="B37" t="inlineStr">
        <is>
          <t>Connectors</t>
        </is>
      </c>
      <c r="C37" s="10">
        <f t="array" ref="C37">TEXTJOIN(", ",TRUE,IF((Bins!$D$2:$D$179=A37)+(Bins!$E$2:$E$179=A37)+(Bins!$F$2:$F$179=A37)+(Bins!$G$2:$G$179=A37)+(Bins!$H$2:$H$179=A37),Bins!$A$2:$A$179,""))</f>
        <v/>
      </c>
      <c r="D37" s="10">
        <f>COUNTIF(Bins!$D$2:$H$179,A37)</f>
        <v/>
      </c>
      <c r="E37" t="inlineStr">
        <is>
          <t>228-2500-129</t>
        </is>
      </c>
    </row>
    <row r="38">
      <c r="A38" t="inlineStr">
        <is>
          <t>2x Wide, 1x1 Offset Corner Connector</t>
        </is>
      </c>
      <c r="B38" t="inlineStr">
        <is>
          <t>Connectors</t>
        </is>
      </c>
      <c r="C38" s="10">
        <f t="array" ref="C38">TEXTJOIN(", ",TRUE,IF((Bins!$D$2:$D$179=A38)+(Bins!$E$2:$E$179=A38)+(Bins!$F$2:$F$179=A38)+(Bins!$G$2:$G$179=A38)+(Bins!$H$2:$H$179=A38),Bins!$A$2:$A$179,""))</f>
        <v/>
      </c>
      <c r="D38" s="10">
        <f>COUNTIF(Bins!$D$2:$H$179,A38)</f>
        <v/>
      </c>
      <c r="E38" t="inlineStr">
        <is>
          <t>228-2500-133, 228-3201-133</t>
        </is>
      </c>
    </row>
    <row r="39">
      <c r="A39" t="inlineStr">
        <is>
          <t>2x Wide, 2x1 Corner Connector</t>
        </is>
      </c>
      <c r="B39" t="inlineStr">
        <is>
          <t>Connectors</t>
        </is>
      </c>
      <c r="C39" s="10">
        <f t="array" ref="C39">TEXTJOIN(", ",TRUE,IF((Bins!$D$2:$D$179=A39)+(Bins!$E$2:$E$179=A39)+(Bins!$F$2:$F$179=A39)+(Bins!$G$2:$G$179=A39)+(Bins!$H$2:$H$179=A39),Bins!$A$2:$A$179,""))</f>
        <v/>
      </c>
      <c r="D39" s="10">
        <f>COUNTIF(Bins!$D$2:$H$179,A39)</f>
        <v/>
      </c>
      <c r="E39" t="inlineStr">
        <is>
          <t>228-2500-132, 228-3201-132</t>
        </is>
      </c>
    </row>
    <row r="40">
      <c r="A40" t="inlineStr">
        <is>
          <t>2x Wide, 2x1 Offset Corner Connector</t>
        </is>
      </c>
      <c r="B40" t="inlineStr">
        <is>
          <t>Connectors</t>
        </is>
      </c>
      <c r="C40" s="10">
        <f t="array" ref="C40">TEXTJOIN(", ",TRUE,IF((Bins!$D$2:$D$179=A40)+(Bins!$E$2:$E$179=A40)+(Bins!$F$2:$F$179=A40)+(Bins!$G$2:$G$179=A40)+(Bins!$H$2:$H$179=A40),Bins!$A$2:$A$179,""))</f>
        <v/>
      </c>
      <c r="D40" s="10">
        <f>COUNTIF(Bins!$D$2:$H$179,A40)</f>
        <v/>
      </c>
      <c r="E40" t="inlineStr">
        <is>
          <t>228-2500-131, 228-3201-131</t>
        </is>
      </c>
    </row>
    <row r="41">
      <c r="A41" t="inlineStr">
        <is>
          <t>2x Wide, 2x2 Offset Corner Connector</t>
        </is>
      </c>
      <c r="B41" t="inlineStr">
        <is>
          <t>Connectors</t>
        </is>
      </c>
      <c r="C41" s="10">
        <f t="array" ref="C41">TEXTJOIN(", ",TRUE,IF((Bins!$D$2:$D$179=A41)+(Bins!$E$2:$E$179=A41)+(Bins!$F$2:$F$179=A41)+(Bins!$G$2:$G$179=A41)+(Bins!$H$2:$H$179=A41),Bins!$A$2:$A$179,""))</f>
        <v/>
      </c>
      <c r="D41" s="10">
        <f>COUNTIF(Bins!$D$2:$H$179,A41)</f>
        <v/>
      </c>
      <c r="E41" t="inlineStr">
        <is>
          <t>228-2500-136</t>
        </is>
      </c>
    </row>
    <row r="42">
      <c r="A42" t="inlineStr">
        <is>
          <t>2x Wide, 3x2 Corner Connector</t>
        </is>
      </c>
      <c r="B42" t="inlineStr">
        <is>
          <t>Connectors</t>
        </is>
      </c>
      <c r="C42" s="10">
        <f t="array" ref="C42">TEXTJOIN(", ",TRUE,IF((Bins!$D$2:$D$179=A42)+(Bins!$E$2:$E$179=A42)+(Bins!$F$2:$F$179=A42)+(Bins!$G$2:$G$179=A42)+(Bins!$H$2:$H$179=A42),Bins!$A$2:$A$179,""))</f>
        <v/>
      </c>
      <c r="D42" s="10">
        <f>COUNTIF(Bins!$D$2:$H$179,A42)</f>
        <v/>
      </c>
      <c r="E42" t="inlineStr">
        <is>
          <t>228-2500-137</t>
        </is>
      </c>
    </row>
    <row r="43">
      <c r="A43" t="inlineStr">
        <is>
          <t>2x Wide, 60 Degree Omni 1x2 Corner Connector</t>
        </is>
      </c>
      <c r="B43" t="inlineStr">
        <is>
          <t>Connectors</t>
        </is>
      </c>
      <c r="C43" s="10">
        <f t="array" ref="C43">TEXTJOIN(", ",TRUE,IF((Bins!$D$2:$D$179=A43)+(Bins!$E$2:$E$179=A43)+(Bins!$F$2:$F$179=A43)+(Bins!$G$2:$G$179=A43)+(Bins!$H$2:$H$179=A43),Bins!$A$2:$A$179,""))</f>
        <v/>
      </c>
      <c r="D43" s="10">
        <f>COUNTIF(Bins!$D$2:$H$179,A43)</f>
        <v/>
      </c>
      <c r="E43" t="inlineStr">
        <is>
          <t>228-2500-68</t>
        </is>
      </c>
    </row>
    <row r="44">
      <c r="A44" t="inlineStr">
        <is>
          <t>90 Degree Standoff Connector</t>
        </is>
      </c>
      <c r="B44" t="inlineStr">
        <is>
          <t>Pins &amp; Standoffs</t>
        </is>
      </c>
      <c r="C44" s="10">
        <f t="array" ref="C44">TEXTJOIN(", ",TRUE,IF((Bins!$D$2:$D$179=A44)+(Bins!$E$2:$E$179=A44)+(Bins!$F$2:$F$179=A44)+(Bins!$G$2:$G$179=A44)+(Bins!$H$2:$H$179=A44),Bins!$A$2:$A$179,""))</f>
        <v/>
      </c>
      <c r="D44" s="10">
        <f>COUNTIF(Bins!$D$2:$H$179,A44)</f>
        <v/>
      </c>
      <c r="E44" t="inlineStr">
        <is>
          <t>228-2500-178</t>
        </is>
      </c>
    </row>
    <row r="45">
      <c r="A45" t="inlineStr">
        <is>
          <t>Double 2x Wide, 1x2 Corner Connector</t>
        </is>
      </c>
      <c r="B45" t="inlineStr">
        <is>
          <t>Connectors</t>
        </is>
      </c>
      <c r="C45" s="10">
        <f t="array" ref="C45">TEXTJOIN(", ",TRUE,IF((Bins!$D$2:$D$179=A45)+(Bins!$E$2:$E$179=A45)+(Bins!$F$2:$F$179=A45)+(Bins!$G$2:$G$179=A45)+(Bins!$H$2:$H$179=A45),Bins!$A$2:$A$179,""))</f>
        <v/>
      </c>
      <c r="D45" s="10">
        <f>COUNTIF(Bins!$D$2:$H$179,A45)</f>
        <v/>
      </c>
      <c r="E45" t="inlineStr">
        <is>
          <t>228-2500-271</t>
        </is>
      </c>
    </row>
    <row r="46">
      <c r="A46" t="inlineStr">
        <is>
          <t>Double 2x Wide, 2x2 Corner Connector</t>
        </is>
      </c>
      <c r="B46" t="inlineStr">
        <is>
          <t>Connectors</t>
        </is>
      </c>
      <c r="C46" s="10">
        <f t="array" ref="C46">TEXTJOIN(", ",TRUE,IF((Bins!$D$2:$D$179=A46)+(Bins!$E$2:$E$179=A46)+(Bins!$F$2:$F$179=A46)+(Bins!$G$2:$G$179=A46)+(Bins!$H$2:$H$179=A46),Bins!$A$2:$A$179,""))</f>
        <v/>
      </c>
      <c r="D46" s="10">
        <f>COUNTIF(Bins!$D$2:$H$179,A46)</f>
        <v/>
      </c>
      <c r="E46" t="inlineStr">
        <is>
          <t>228-2500-220</t>
        </is>
      </c>
    </row>
    <row r="47">
      <c r="A47" t="inlineStr">
        <is>
          <t>Double 2x Wide, 2x2 Double Offset Corner Connector</t>
        </is>
      </c>
      <c r="B47" t="inlineStr">
        <is>
          <t>Connectors</t>
        </is>
      </c>
      <c r="C47" s="10">
        <f t="array" ref="C47">TEXTJOIN(", ",TRUE,IF((Bins!$D$2:$D$179=A47)+(Bins!$E$2:$E$179=A47)+(Bins!$F$2:$F$179=A47)+(Bins!$G$2:$G$179=A47)+(Bins!$H$2:$H$179=A47),Bins!$A$2:$A$179,""))</f>
        <v/>
      </c>
      <c r="D47" s="10">
        <f>COUNTIF(Bins!$D$2:$H$179,A47)</f>
        <v/>
      </c>
      <c r="E47" t="inlineStr">
        <is>
          <t>228-2500-277</t>
        </is>
      </c>
    </row>
    <row r="48">
      <c r="A48" t="inlineStr">
        <is>
          <t>Triple 2x Wide, 2x2 Corner Connector</t>
        </is>
      </c>
      <c r="B48" t="inlineStr">
        <is>
          <t>Connectors</t>
        </is>
      </c>
      <c r="C48" s="10">
        <f t="array" ref="C48">TEXTJOIN(", ",TRUE,IF((Bins!$D$2:$D$179=A48)+(Bins!$E$2:$E$179=A48)+(Bins!$F$2:$F$179=A48)+(Bins!$G$2:$G$179=A48)+(Bins!$H$2:$H$179=A48),Bins!$A$2:$A$179,""))</f>
        <v/>
      </c>
      <c r="D48" s="10">
        <f>COUNTIF(Bins!$D$2:$H$179,A48)</f>
        <v/>
      </c>
      <c r="E48" t="inlineStr">
        <is>
          <t>228-2500-1253</t>
        </is>
      </c>
    </row>
    <row r="49">
      <c r="A49" t="inlineStr">
        <is>
          <t>Mini Standoff Connector</t>
        </is>
      </c>
      <c r="B49" t="inlineStr">
        <is>
          <t>Pins &amp; Standoffs</t>
        </is>
      </c>
      <c r="C49" s="10">
        <f t="array" ref="C49">TEXTJOIN(", ",TRUE,IF((Bins!$D$2:$D$179=A49)+(Bins!$E$2:$E$179=A49)+(Bins!$F$2:$F$179=A49)+(Bins!$G$2:$G$179=A49)+(Bins!$H$2:$H$179=A49),Bins!$A$2:$A$179,""))</f>
        <v/>
      </c>
      <c r="D49" s="10">
        <f>COUNTIF(Bins!$D$2:$H$179,A49)</f>
        <v/>
      </c>
      <c r="E49" t="inlineStr">
        <is>
          <t>228-2500-170, 228-3616-170</t>
        </is>
      </c>
    </row>
    <row r="50">
      <c r="A50" t="inlineStr">
        <is>
          <t>End Standoff Connector</t>
        </is>
      </c>
      <c r="B50" t="inlineStr">
        <is>
          <t>Pins &amp; Standoffs</t>
        </is>
      </c>
      <c r="C50" s="10">
        <f t="array" ref="C50">TEXTJOIN(", ",TRUE,IF((Bins!$D$2:$D$179=A50)+(Bins!$E$2:$E$179=A50)+(Bins!$F$2:$F$179=A50)+(Bins!$G$2:$G$179=A50)+(Bins!$H$2:$H$179=A50),Bins!$A$2:$A$179,""))</f>
        <v/>
      </c>
      <c r="D50" s="10">
        <f>COUNTIF(Bins!$D$2:$H$179,A50)</f>
        <v/>
      </c>
      <c r="E50" t="inlineStr">
        <is>
          <t>228-2500-172, 228-3616-172</t>
        </is>
      </c>
    </row>
    <row r="51">
      <c r="A51" t="inlineStr">
        <is>
          <t>Medium Intake Flap</t>
        </is>
      </c>
      <c r="B51" t="inlineStr">
        <is>
          <t>Wheels &amp; Intake</t>
        </is>
      </c>
      <c r="C51" s="10">
        <f t="array" ref="C51">TEXTJOIN(", ",TRUE,IF((Bins!$D$2:$D$179=A51)+(Bins!$E$2:$E$179=A51)+(Bins!$F$2:$F$179=A51)+(Bins!$G$2:$G$179=A51)+(Bins!$H$2:$H$179=A51),Bins!$A$2:$A$179,""))</f>
        <v/>
      </c>
      <c r="D51" s="10">
        <f>COUNTIF(Bins!$D$2:$H$179,A51)</f>
        <v/>
      </c>
      <c r="E51" t="inlineStr">
        <is>
          <t>228-2500-241</t>
        </is>
      </c>
    </row>
    <row r="52">
      <c r="A52" t="inlineStr">
        <is>
          <t>Short Intake Flap</t>
        </is>
      </c>
      <c r="B52" t="inlineStr">
        <is>
          <t>Wheels &amp; Intake</t>
        </is>
      </c>
      <c r="C52" s="10">
        <f t="array" ref="C52">TEXTJOIN(", ",TRUE,IF((Bins!$D$2:$D$179=A52)+(Bins!$E$2:$E$179=A52)+(Bins!$F$2:$F$179=A52)+(Bins!$G$2:$G$179=A52)+(Bins!$H$2:$H$179=A52),Bins!$A$2:$A$179,""))</f>
        <v/>
      </c>
      <c r="D52" s="10">
        <f>COUNTIF(Bins!$D$2:$H$179,A52)</f>
        <v/>
      </c>
      <c r="E52" t="inlineStr">
        <is>
          <t>228-2500-240</t>
        </is>
      </c>
    </row>
    <row r="53">
      <c r="A53" t="inlineStr">
        <is>
          <t>Traction Link</t>
        </is>
      </c>
      <c r="B53" t="inlineStr">
        <is>
          <t>Wheels &amp; Intake</t>
        </is>
      </c>
      <c r="C53" s="10">
        <f t="array" ref="C53">TEXTJOIN(", ",TRUE,IF((Bins!$D$2:$D$179=A53)+(Bins!$E$2:$E$179=A53)+(Bins!$F$2:$F$179=A53)+(Bins!$G$2:$G$179=A53)+(Bins!$H$2:$H$179=A53),Bins!$A$2:$A$179,""))</f>
        <v/>
      </c>
      <c r="D53" s="10">
        <f>COUNTIF(Bins!$D$2:$H$179,A53)</f>
        <v/>
      </c>
      <c r="E53" t="inlineStr">
        <is>
          <t>228-2500-239</t>
        </is>
      </c>
    </row>
    <row r="54">
      <c r="A54" t="inlineStr">
        <is>
          <t>1x Wide Spool</t>
        </is>
      </c>
      <c r="B54" t="inlineStr">
        <is>
          <t>Specialty</t>
        </is>
      </c>
      <c r="C54" s="10">
        <f t="array" ref="C54">TEXTJOIN(", ",TRUE,IF((Bins!$D$2:$D$179=A54)+(Bins!$E$2:$E$179=A54)+(Bins!$F$2:$F$179=A54)+(Bins!$G$2:$G$179=A54)+(Bins!$H$2:$H$179=A54),Bins!$A$2:$A$179,""))</f>
        <v/>
      </c>
      <c r="D54" s="10">
        <f>COUNTIF(Bins!$D$2:$H$179,A54)</f>
        <v/>
      </c>
      <c r="E54" t="inlineStr">
        <is>
          <t>228-2500-420</t>
        </is>
      </c>
    </row>
    <row r="55">
      <c r="A55" t="inlineStr">
        <is>
          <t>24x Pitch Rope</t>
        </is>
      </c>
      <c r="B55" t="inlineStr">
        <is>
          <t>Specialty</t>
        </is>
      </c>
      <c r="C55" s="10">
        <f t="array" ref="C55">TEXTJOIN(", ",TRUE,IF((Bins!$D$2:$D$179=A55)+(Bins!$E$2:$E$179=A55)+(Bins!$F$2:$F$179=A55)+(Bins!$G$2:$G$179=A55)+(Bins!$H$2:$H$179=A55),Bins!$A$2:$A$179,""))</f>
        <v/>
      </c>
      <c r="D55" s="10">
        <f>COUNTIF(Bins!$D$2:$H$179,A55)</f>
        <v/>
      </c>
      <c r="E55" t="inlineStr">
        <is>
          <t>228-2500-438</t>
        </is>
      </c>
    </row>
    <row r="56">
      <c r="A56" t="inlineStr">
        <is>
          <t>Cable Anchor</t>
        </is>
      </c>
      <c r="B56" t="inlineStr">
        <is>
          <t>Cables</t>
        </is>
      </c>
      <c r="C56" s="10">
        <f t="array" ref="C56">TEXTJOIN(", ",TRUE,IF((Bins!$D$2:$D$179=A56)+(Bins!$E$2:$E$179=A56)+(Bins!$F$2:$F$179=A56)+(Bins!$G$2:$G$179=A56)+(Bins!$H$2:$H$179=A56),Bins!$A$2:$A$179,""))</f>
        <v/>
      </c>
      <c r="D56" s="10">
        <f>COUNTIF(Bins!$D$2:$H$179,A56)</f>
        <v/>
      </c>
      <c r="E56" t="inlineStr">
        <is>
          <t>228-2500-158</t>
        </is>
      </c>
    </row>
    <row r="57">
      <c r="A57" t="inlineStr">
        <is>
          <t>Rubber Band Anchor</t>
        </is>
      </c>
      <c r="B57" t="inlineStr">
        <is>
          <t>Specialty</t>
        </is>
      </c>
      <c r="C57" s="10">
        <f t="array" ref="C57">TEXTJOIN(", ",TRUE,IF((Bins!$D$2:$D$179=A57)+(Bins!$E$2:$E$179=A57)+(Bins!$F$2:$F$179=A57)+(Bins!$G$2:$G$179=A57)+(Bins!$H$2:$H$179=A57),Bins!$A$2:$A$179,""))</f>
        <v/>
      </c>
      <c r="D57" s="10">
        <f>COUNTIF(Bins!$D$2:$H$179,A57)</f>
        <v/>
      </c>
      <c r="E57" t="inlineStr">
        <is>
          <t>228-2500-157, 228-3616-157</t>
        </is>
      </c>
    </row>
    <row r="58">
      <c r="A58" t="inlineStr">
        <is>
          <t>Silicone Rubber Band #32</t>
        </is>
      </c>
      <c r="B58" t="inlineStr">
        <is>
          <t>Specialty</t>
        </is>
      </c>
      <c r="C58" s="10">
        <f t="array" ref="C58">TEXTJOIN(", ",TRUE,IF((Bins!$D$2:$D$179=A58)+(Bins!$E$2:$E$179=A58)+(Bins!$F$2:$F$179=A58)+(Bins!$G$2:$G$179=A58)+(Bins!$H$2:$H$179=A58),Bins!$A$2:$A$179,""))</f>
        <v/>
      </c>
      <c r="D58" s="10">
        <f>COUNTIF(Bins!$D$2:$H$179,A58)</f>
        <v/>
      </c>
      <c r="E58" t="inlineStr">
        <is>
          <t>228-2500-468</t>
        </is>
      </c>
    </row>
    <row r="59">
      <c r="A59" t="inlineStr">
        <is>
          <t>North Pole Magnetic Beam</t>
        </is>
      </c>
      <c r="B59" t="inlineStr">
        <is>
          <t>Beams &amp; Plates</t>
        </is>
      </c>
      <c r="C59" s="10">
        <f t="array" ref="C59">TEXTJOIN(", ",TRUE,IF((Bins!$D$2:$D$179=A59)+(Bins!$E$2:$E$179=A59)+(Bins!$F$2:$F$179=A59)+(Bins!$G$2:$G$179=A59)+(Bins!$H$2:$H$179=A59),Bins!$A$2:$A$179,""))</f>
        <v/>
      </c>
      <c r="D59" s="10">
        <f>COUNTIF(Bins!$D$2:$H$179,A59)</f>
        <v/>
      </c>
      <c r="E59" t="inlineStr">
        <is>
          <t>228-3167-020</t>
        </is>
      </c>
    </row>
    <row r="60">
      <c r="A60" t="inlineStr">
        <is>
          <t>South Pole Magnetic Beam</t>
        </is>
      </c>
      <c r="B60" t="inlineStr">
        <is>
          <t>Beams &amp; Plates</t>
        </is>
      </c>
      <c r="C60" s="10">
        <f t="array" ref="C60">TEXTJOIN(", ",TRUE,IF((Bins!$D$2:$D$179=A60)+(Bins!$E$2:$E$179=A60)+(Bins!$F$2:$F$179=A60)+(Bins!$G$2:$G$179=A60)+(Bins!$H$2:$H$179=A60),Bins!$A$2:$A$179,""))</f>
        <v/>
      </c>
      <c r="D60" s="10">
        <f>COUNTIF(Bins!$D$2:$H$179,A60)</f>
        <v/>
      </c>
      <c r="E60" t="inlineStr">
        <is>
          <t>228-3167-010</t>
        </is>
      </c>
    </row>
    <row r="61">
      <c r="A61" t="inlineStr">
        <is>
          <t>1x12 Beam</t>
        </is>
      </c>
      <c r="B61" t="inlineStr">
        <is>
          <t>Beams &amp; Plates</t>
        </is>
      </c>
      <c r="C61" s="10">
        <f t="array" ref="C61">TEXTJOIN(", ",TRUE,IF((Bins!$D$2:$D$179=A61)+(Bins!$E$2:$E$179=A61)+(Bins!$F$2:$F$179=A61)+(Bins!$G$2:$G$179=A61)+(Bins!$H$2:$H$179=A61),Bins!$A$2:$A$179,""))</f>
        <v/>
      </c>
      <c r="D61" s="10">
        <f>COUNTIF(Bins!$D$2:$H$179,A61)</f>
        <v/>
      </c>
      <c r="E61" t="inlineStr">
        <is>
          <t>228-2500-011, 228-3616-011</t>
        </is>
      </c>
    </row>
    <row r="62">
      <c r="A62" t="inlineStr">
        <is>
          <t>2x12 Beam</t>
        </is>
      </c>
      <c r="B62" t="inlineStr">
        <is>
          <t>Beams &amp; Plates</t>
        </is>
      </c>
      <c r="C62" s="10">
        <f t="array" ref="C62">TEXTJOIN(", ",TRUE,IF((Bins!$D$2:$D$179=A62)+(Bins!$E$2:$E$179=A62)+(Bins!$F$2:$F$179=A62)+(Bins!$G$2:$G$179=A62)+(Bins!$H$2:$H$179=A62),Bins!$A$2:$A$179,""))</f>
        <v/>
      </c>
      <c r="D62" s="10">
        <f>COUNTIF(Bins!$D$2:$H$179,A62)</f>
        <v/>
      </c>
      <c r="E62" t="inlineStr">
        <is>
          <t>228-2500-026, 228-3616-026</t>
        </is>
      </c>
    </row>
    <row r="63">
      <c r="A63" t="inlineStr">
        <is>
          <t>1x16 Beam</t>
        </is>
      </c>
      <c r="B63" t="inlineStr">
        <is>
          <t>Beams &amp; Plates</t>
        </is>
      </c>
      <c r="C63" s="10">
        <f t="array" ref="C63">TEXTJOIN(", ",TRUE,IF((Bins!$D$2:$D$179=A63)+(Bins!$E$2:$E$179=A63)+(Bins!$F$2:$F$179=A63)+(Bins!$G$2:$G$179=A63)+(Bins!$H$2:$H$179=A63),Bins!$A$2:$A$179,""))</f>
        <v/>
      </c>
      <c r="D63" s="10">
        <f>COUNTIF(Bins!$D$2:$H$179,A63)</f>
        <v/>
      </c>
      <c r="E63" t="inlineStr">
        <is>
          <t>228-2500-014</t>
        </is>
      </c>
    </row>
    <row r="64">
      <c r="A64" t="inlineStr">
        <is>
          <t>2x16 Beam</t>
        </is>
      </c>
      <c r="B64" t="inlineStr">
        <is>
          <t>Beams &amp; Plates</t>
        </is>
      </c>
      <c r="C64" s="10">
        <f t="array" ref="C64">TEXTJOIN(", ",TRUE,IF((Bins!$D$2:$D$179=A64)+(Bins!$E$2:$E$179=A64)+(Bins!$F$2:$F$179=A64)+(Bins!$G$2:$G$179=A64)+(Bins!$H$2:$H$179=A64),Bins!$A$2:$A$179,""))</f>
        <v/>
      </c>
      <c r="D64" s="10">
        <f>COUNTIF(Bins!$D$2:$H$179,A64)</f>
        <v/>
      </c>
      <c r="E64" t="inlineStr">
        <is>
          <t>228-2500-028, 228-3616-028</t>
        </is>
      </c>
    </row>
    <row r="65">
      <c r="A65" t="inlineStr">
        <is>
          <t>3x3 Plate</t>
        </is>
      </c>
      <c r="B65" t="inlineStr">
        <is>
          <t>Beams &amp; Plates</t>
        </is>
      </c>
      <c r="C65" s="10">
        <f t="array" ref="C65">TEXTJOIN(", ",TRUE,IF((Bins!$D$2:$D$179=A65)+(Bins!$E$2:$E$179=A65)+(Bins!$F$2:$F$179=A65)+(Bins!$G$2:$G$179=A65)+(Bins!$H$2:$H$179=A65),Bins!$A$2:$A$179,""))</f>
        <v/>
      </c>
      <c r="D65" s="10">
        <f>COUNTIF(Bins!$D$2:$H$179,A65)</f>
        <v/>
      </c>
      <c r="E65" t="inlineStr">
        <is>
          <t>228-2500-031</t>
        </is>
      </c>
    </row>
    <row r="66">
      <c r="A66" t="inlineStr">
        <is>
          <t>4x4 Plate</t>
        </is>
      </c>
      <c r="B66" t="inlineStr">
        <is>
          <t>Beams &amp; Plates</t>
        </is>
      </c>
      <c r="C66" s="10">
        <f t="array" ref="C66">TEXTJOIN(", ",TRUE,IF((Bins!$D$2:$D$179=A66)+(Bins!$E$2:$E$179=A66)+(Bins!$F$2:$F$179=A66)+(Bins!$G$2:$G$179=A66)+(Bins!$H$2:$H$179=A66),Bins!$A$2:$A$179,""))</f>
        <v/>
      </c>
      <c r="D66" s="10">
        <f>COUNTIF(Bins!$D$2:$H$179,A66)</f>
        <v/>
      </c>
      <c r="E66" t="inlineStr">
        <is>
          <t>228-2500-040, 228-3616-040</t>
        </is>
      </c>
    </row>
    <row r="67">
      <c r="A67" t="inlineStr">
        <is>
          <t>4x12 Plate</t>
        </is>
      </c>
      <c r="B67" t="inlineStr">
        <is>
          <t>Beams &amp; Plates</t>
        </is>
      </c>
      <c r="C67" s="10">
        <f t="array" ref="C67">TEXTJOIN(", ",TRUE,IF((Bins!$D$2:$D$179=A67)+(Bins!$E$2:$E$179=A67)+(Bins!$F$2:$F$179=A67)+(Bins!$G$2:$G$179=A67)+(Bins!$H$2:$H$179=A67),Bins!$A$2:$A$179,""))</f>
        <v/>
      </c>
      <c r="D67" s="10">
        <f>COUNTIF(Bins!$D$2:$H$179,A67)</f>
        <v/>
      </c>
      <c r="E67" t="inlineStr">
        <is>
          <t>228-3616-045</t>
        </is>
      </c>
    </row>
    <row r="68">
      <c r="A68" t="inlineStr">
        <is>
          <t>4x8 Plate</t>
        </is>
      </c>
      <c r="B68" t="inlineStr">
        <is>
          <t>Beams &amp; Plates</t>
        </is>
      </c>
      <c r="C68" s="10">
        <f t="array" ref="C68">TEXTJOIN(", ",TRUE,IF((Bins!$D$2:$D$179=A68)+(Bins!$E$2:$E$179=A68)+(Bins!$F$2:$F$179=A68)+(Bins!$G$2:$G$179=A68)+(Bins!$H$2:$H$179=A68),Bins!$A$2:$A$179,""))</f>
        <v/>
      </c>
      <c r="D68" s="10">
        <f>COUNTIF(Bins!$D$2:$H$179,A68)</f>
        <v/>
      </c>
      <c r="E68" t="inlineStr">
        <is>
          <t>228-2500-043</t>
        </is>
      </c>
    </row>
    <row r="69">
      <c r="A69" t="inlineStr">
        <is>
          <t>Chain Link</t>
        </is>
      </c>
      <c r="B69" t="inlineStr">
        <is>
          <t>Sprockets &amp; Chain</t>
        </is>
      </c>
      <c r="C69" s="10">
        <f t="array" ref="C69">TEXTJOIN(", ",TRUE,IF((Bins!$D$2:$D$179=A69)+(Bins!$E$2:$E$179=A69)+(Bins!$F$2:$F$179=A69)+(Bins!$G$2:$G$179=A69)+(Bins!$H$2:$H$179=A69),Bins!$A$2:$A$179,""))</f>
        <v/>
      </c>
      <c r="D69" s="10">
        <f>COUNTIF(Bins!$D$2:$H$179,A69)</f>
        <v/>
      </c>
      <c r="E69" t="inlineStr">
        <is>
          <t>228-2500-230, 228-3616-230</t>
        </is>
      </c>
    </row>
    <row r="70">
      <c r="A70" t="inlineStr">
        <is>
          <t>XL Turntable 36 Tooth Ring Gear Bushing</t>
        </is>
      </c>
      <c r="B70" t="inlineStr">
        <is>
          <t>Gears</t>
        </is>
      </c>
      <c r="C70" s="10">
        <f t="array" ref="C70">TEXTJOIN(", ",TRUE,IF((Bins!$D$2:$D$179=A70)+(Bins!$E$2:$E$179=A70)+(Bins!$F$2:$F$179=A70)+(Bins!$G$2:$G$179=A70)+(Bins!$H$2:$H$179=A70),Bins!$A$2:$A$179,""))</f>
        <v/>
      </c>
      <c r="D70" s="10">
        <f>COUNTIF(Bins!$D$2:$H$179,A70)</f>
        <v/>
      </c>
      <c r="E70" t="inlineStr">
        <is>
          <t>228-3944-202</t>
        </is>
      </c>
    </row>
    <row r="71">
      <c r="A71" t="inlineStr">
        <is>
          <t>XL Turntable Outer Housing</t>
        </is>
      </c>
      <c r="B71" t="inlineStr">
        <is>
          <t>Specialty</t>
        </is>
      </c>
      <c r="C71" s="10">
        <f t="array" ref="C71">TEXTJOIN(", ",TRUE,IF((Bins!$D$2:$D$179=A71)+(Bins!$E$2:$E$179=A71)+(Bins!$F$2:$F$179=A71)+(Bins!$G$2:$G$179=A71)+(Bins!$H$2:$H$179=A71),Bins!$A$2:$A$179,""))</f>
        <v/>
      </c>
      <c r="D71" s="10">
        <f>COUNTIF(Bins!$D$2:$H$179,A71)</f>
        <v/>
      </c>
      <c r="E71" t="inlineStr">
        <is>
          <t>228-3616-199</t>
        </is>
      </c>
    </row>
    <row r="72">
      <c r="A72" t="inlineStr">
        <is>
          <t>XL Turntable Plain Bushing</t>
        </is>
      </c>
      <c r="B72" t="inlineStr">
        <is>
          <t>Shafts &amp; Rotation</t>
        </is>
      </c>
      <c r="C72" s="10">
        <f t="array" ref="C72">TEXTJOIN(", ",TRUE,IF((Bins!$D$2:$D$179=A72)+(Bins!$E$2:$E$179=A72)+(Bins!$F$2:$F$179=A72)+(Bins!$G$2:$G$179=A72)+(Bins!$H$2:$H$179=A72),Bins!$A$2:$A$179,""))</f>
        <v/>
      </c>
      <c r="D72" s="10">
        <f>COUNTIF(Bins!$D$2:$H$179,A72)</f>
        <v/>
      </c>
      <c r="E72" t="inlineStr">
        <is>
          <t>228-3944-200</t>
        </is>
      </c>
    </row>
    <row r="73">
      <c r="A73" t="inlineStr">
        <is>
          <t>Small Wheel Hub (44mm)</t>
        </is>
      </c>
      <c r="B73" t="inlineStr">
        <is>
          <t>Wheels &amp; Intake</t>
        </is>
      </c>
      <c r="C73" s="10">
        <f t="array" ref="C73">TEXTJOIN(", ",TRUE,IF((Bins!$D$2:$D$179=A73)+(Bins!$E$2:$E$179=A73)+(Bins!$F$2:$F$179=A73)+(Bins!$G$2:$G$179=A73)+(Bins!$H$2:$H$179=A73),Bins!$A$2:$A$179,""))</f>
        <v/>
      </c>
      <c r="D73" s="10">
        <f>COUNTIF(Bins!$D$2:$H$179,A73)</f>
        <v/>
      </c>
      <c r="E73" t="inlineStr">
        <is>
          <t>228-2500-1208</t>
        </is>
      </c>
    </row>
    <row r="74">
      <c r="A74" t="inlineStr">
        <is>
          <t>Tire (200 mm Travel)</t>
        </is>
      </c>
      <c r="B74" t="inlineStr">
        <is>
          <t>Wheels &amp; Intake</t>
        </is>
      </c>
      <c r="C74" s="10">
        <f t="array" ref="C74">TEXTJOIN(", ",TRUE,IF((Bins!$D$2:$D$179=A74)+(Bins!$E$2:$E$179=A74)+(Bins!$F$2:$F$179=A74)+(Bins!$G$2:$G$179=A74)+(Bins!$H$2:$H$179=A74),Bins!$A$2:$A$179,""))</f>
        <v/>
      </c>
      <c r="D74" s="10">
        <f>COUNTIF(Bins!$D$2:$H$179,A74)</f>
        <v/>
      </c>
      <c r="E74" t="inlineStr">
        <is>
          <t>228-2500-209</t>
        </is>
      </c>
    </row>
    <row r="75">
      <c r="A75" t="inlineStr">
        <is>
          <t>2x Wide, 5x Pitch Diameter Balloon Tire (Racing Slick Tread)</t>
        </is>
      </c>
      <c r="B75" t="inlineStr">
        <is>
          <t>Wheels &amp; Intake</t>
        </is>
      </c>
      <c r="C75" s="10">
        <f t="array" ref="C75">TEXTJOIN(", ",TRUE,IF((Bins!$D$2:$D$179=A75)+(Bins!$E$2:$E$179=A75)+(Bins!$F$2:$F$179=A75)+(Bins!$G$2:$G$179=A75)+(Bins!$H$2:$H$179=A75),Bins!$A$2:$A$179,""))</f>
        <v/>
      </c>
      <c r="D75" s="10">
        <f>COUNTIF(Bins!$D$2:$H$179,A75)</f>
        <v/>
      </c>
      <c r="E75" t="inlineStr">
        <is>
          <t>228-2500-1958</t>
        </is>
      </c>
    </row>
    <row r="76">
      <c r="A76" t="inlineStr">
        <is>
          <t>2x Wide, Ø48.5mm Diameter Hub</t>
        </is>
      </c>
      <c r="B76" t="inlineStr">
        <is>
          <t>Wheels &amp; Intake</t>
        </is>
      </c>
      <c r="C76" s="10">
        <f t="array" ref="C76">TEXTJOIN(", ",TRUE,IF((Bins!$D$2:$D$179=A76)+(Bins!$E$2:$E$179=A76)+(Bins!$F$2:$F$179=A76)+(Bins!$G$2:$G$179=A76)+(Bins!$H$2:$H$179=A76),Bins!$A$2:$A$179,""))</f>
        <v/>
      </c>
      <c r="D76" s="10">
        <f>COUNTIF(Bins!$D$2:$H$179,A76)</f>
        <v/>
      </c>
      <c r="E76" t="inlineStr">
        <is>
          <t>228-2500-1953</t>
        </is>
      </c>
    </row>
    <row r="77">
      <c r="A77" t="inlineStr">
        <is>
          <t>Omni Wheels</t>
        </is>
      </c>
      <c r="B77" t="inlineStr">
        <is>
          <t>Wheels &amp; Intake</t>
        </is>
      </c>
      <c r="C77" s="10">
        <f t="array" ref="C77">TEXTJOIN(", ",TRUE,IF((Bins!$D$2:$D$179=A77)+(Bins!$E$2:$E$179=A77)+(Bins!$F$2:$F$179=A77)+(Bins!$G$2:$G$179=A77)+(Bins!$H$2:$H$179=A77),Bins!$A$2:$A$179,""))</f>
        <v/>
      </c>
      <c r="D77" s="10">
        <f>COUNTIF(Bins!$D$2:$H$179,A77)</f>
        <v/>
      </c>
      <c r="E77" t="inlineStr">
        <is>
          <t>228-2536-000</t>
        </is>
      </c>
    </row>
    <row r="78">
      <c r="A78" t="inlineStr">
        <is>
          <t>Linear Slide Bracket</t>
        </is>
      </c>
      <c r="B78" t="inlineStr">
        <is>
          <t>Specialty</t>
        </is>
      </c>
      <c r="C78" s="10">
        <f t="array" ref="C78">TEXTJOIN(", ",TRUE,IF((Bins!$D$2:$D$179=A78)+(Bins!$E$2:$E$179=A78)+(Bins!$F$2:$F$179=A78)+(Bins!$G$2:$G$179=A78)+(Bins!$H$2:$H$179=A78),Bins!$A$2:$A$179,""))</f>
        <v/>
      </c>
      <c r="D78" s="10">
        <f>COUNTIF(Bins!$D$2:$H$179,A78)</f>
        <v/>
      </c>
      <c r="E78" t="inlineStr">
        <is>
          <t>228-3196-217</t>
        </is>
      </c>
    </row>
    <row r="79">
      <c r="A79" t="inlineStr">
        <is>
          <t>Rack Gear</t>
        </is>
      </c>
      <c r="B79" t="inlineStr">
        <is>
          <t>Gears</t>
        </is>
      </c>
      <c r="C79" s="10">
        <f t="array" ref="C79">TEXTJOIN(", ",TRUE,IF((Bins!$D$2:$D$179=A79)+(Bins!$E$2:$E$179=A79)+(Bins!$F$2:$F$179=A79)+(Bins!$G$2:$G$179=A79)+(Bins!$H$2:$H$179=A79),Bins!$A$2:$A$179,""))</f>
        <v/>
      </c>
      <c r="D79" s="10">
        <f>COUNTIF(Bins!$D$2:$H$179,A79)</f>
        <v/>
      </c>
      <c r="E79" t="inlineStr">
        <is>
          <t>228-3196-216</t>
        </is>
      </c>
    </row>
    <row r="80">
      <c r="A80" t="inlineStr">
        <is>
          <t>1x1 Beam</t>
        </is>
      </c>
      <c r="B80" t="inlineStr">
        <is>
          <t>Beams &amp; Plates</t>
        </is>
      </c>
      <c r="C80" s="10">
        <f t="array" ref="C80">TEXTJOIN(", ",TRUE,IF((Bins!$D$2:$D$179=A80)+(Bins!$E$2:$E$179=A80)+(Bins!$F$2:$F$179=A80)+(Bins!$G$2:$G$179=A80)+(Bins!$H$2:$H$179=A80),Bins!$A$2:$A$179,""))</f>
        <v/>
      </c>
      <c r="D80" s="10">
        <f>COUNTIF(Bins!$D$2:$H$179,A80)</f>
        <v/>
      </c>
      <c r="E80" t="inlineStr">
        <is>
          <t>228-2500-154</t>
        </is>
      </c>
    </row>
    <row r="81">
      <c r="A81" t="inlineStr">
        <is>
          <t>1x3 Beam</t>
        </is>
      </c>
      <c r="B81" t="inlineStr">
        <is>
          <t>Beams &amp; Plates</t>
        </is>
      </c>
      <c r="C81" s="10">
        <f t="array" ref="C81">TEXTJOIN(", ",TRUE,IF((Bins!$D$2:$D$179=A81)+(Bins!$E$2:$E$179=A81)+(Bins!$F$2:$F$179=A81)+(Bins!$G$2:$G$179=A81)+(Bins!$H$2:$H$179=A81),Bins!$A$2:$A$179,""))</f>
        <v/>
      </c>
      <c r="D81" s="10">
        <f>COUNTIF(Bins!$D$2:$H$179,A81)</f>
        <v/>
      </c>
      <c r="E81" t="inlineStr">
        <is>
          <t>228-3616-002</t>
        </is>
      </c>
    </row>
    <row r="82">
      <c r="A82" t="inlineStr">
        <is>
          <t>1x5 Beam</t>
        </is>
      </c>
      <c r="B82" t="inlineStr">
        <is>
          <t>Beams &amp; Plates</t>
        </is>
      </c>
      <c r="C82" s="10">
        <f t="array" ref="C82">TEXTJOIN(", ",TRUE,IF((Bins!$D$2:$D$179=A82)+(Bins!$E$2:$E$179=A82)+(Bins!$F$2:$F$179=A82)+(Bins!$G$2:$G$179=A82)+(Bins!$H$2:$H$179=A82),Bins!$A$2:$A$179,""))</f>
        <v/>
      </c>
      <c r="D82" s="10">
        <f>COUNTIF(Bins!$D$2:$H$179,A82)</f>
        <v/>
      </c>
      <c r="E82" t="inlineStr">
        <is>
          <t>228-2500-004</t>
        </is>
      </c>
    </row>
    <row r="83">
      <c r="A83" t="inlineStr">
        <is>
          <t>1x3 Center Lock Beam</t>
        </is>
      </c>
      <c r="B83" t="inlineStr">
        <is>
          <t>Beams &amp; Plates</t>
        </is>
      </c>
      <c r="C83" s="10">
        <f t="array" ref="C83">TEXTJOIN(", ",TRUE,IF((Bins!$D$2:$D$179=A83)+(Bins!$E$2:$E$179=A83)+(Bins!$F$2:$F$179=A83)+(Bins!$G$2:$G$179=A83)+(Bins!$H$2:$H$179=A83),Bins!$A$2:$A$179,""))</f>
        <v/>
      </c>
      <c r="D83" s="10">
        <f>COUNTIF(Bins!$D$2:$H$179,A83)</f>
        <v/>
      </c>
      <c r="E83" t="inlineStr">
        <is>
          <t>228-2500-1141</t>
        </is>
      </c>
    </row>
    <row r="84">
      <c r="A84" t="inlineStr">
        <is>
          <t>1x3 Center Lock Plate</t>
        </is>
      </c>
      <c r="B84" t="inlineStr">
        <is>
          <t>Beams &amp; Plates</t>
        </is>
      </c>
      <c r="C84" s="10">
        <f t="array" ref="C84">TEXTJOIN(", ",TRUE,IF((Bins!$D$2:$D$179=A84)+(Bins!$E$2:$E$179=A84)+(Bins!$F$2:$F$179=A84)+(Bins!$G$2:$G$179=A84)+(Bins!$H$2:$H$179=A84),Bins!$A$2:$A$179,""))</f>
        <v/>
      </c>
      <c r="D84" s="10">
        <f>COUNTIF(Bins!$D$2:$H$179,A84)</f>
        <v/>
      </c>
      <c r="E84" t="inlineStr">
        <is>
          <t>228-3201-141</t>
        </is>
      </c>
    </row>
    <row r="85">
      <c r="A85" t="inlineStr">
        <is>
          <t>1x4 Low-Profile End Lock Beam</t>
        </is>
      </c>
      <c r="B85" t="inlineStr">
        <is>
          <t>Beams &amp; Plates</t>
        </is>
      </c>
      <c r="C85" s="10">
        <f t="array" ref="C85">TEXTJOIN(", ",TRUE,IF((Bins!$D$2:$D$179=A85)+(Bins!$E$2:$E$179=A85)+(Bins!$F$2:$F$179=A85)+(Bins!$G$2:$G$179=A85)+(Bins!$H$2:$H$179=A85),Bins!$A$2:$A$179,""))</f>
        <v/>
      </c>
      <c r="D85" s="10">
        <f>COUNTIF(Bins!$D$2:$H$179,A85)</f>
        <v/>
      </c>
      <c r="E85" t="inlineStr">
        <is>
          <t>228-2500-1548</t>
        </is>
      </c>
    </row>
    <row r="86">
      <c r="A86" t="inlineStr">
        <is>
          <t>2x2 Center Offset Round Lock Beam</t>
        </is>
      </c>
      <c r="B86" t="inlineStr">
        <is>
          <t>Beams &amp; Plates</t>
        </is>
      </c>
      <c r="C86" s="10">
        <f t="array" ref="C86">TEXTJOIN(", ",TRUE,IF((Bins!$D$2:$D$179=A86)+(Bins!$E$2:$E$179=A86)+(Bins!$F$2:$F$179=A86)+(Bins!$G$2:$G$179=A86)+(Bins!$H$2:$H$179=A86),Bins!$A$2:$A$179,""))</f>
        <v/>
      </c>
      <c r="D86" s="10">
        <f>COUNTIF(Bins!$D$2:$H$179,A86)</f>
        <v/>
      </c>
      <c r="E86" t="inlineStr">
        <is>
          <t>228-2500-1925</t>
        </is>
      </c>
    </row>
    <row r="87">
      <c r="A87" t="inlineStr">
        <is>
          <t>2x2 Lock Plate</t>
        </is>
      </c>
      <c r="B87" t="inlineStr">
        <is>
          <t>Beams &amp; Plates</t>
        </is>
      </c>
      <c r="C87" s="10">
        <f t="array" ref="C87">TEXTJOIN(", ",TRUE,IF((Bins!$D$2:$D$179=A87)+(Bins!$E$2:$E$179=A87)+(Bins!$F$2:$F$179=A87)+(Bins!$G$2:$G$179=A87)+(Bins!$H$2:$H$179=A87),Bins!$A$2:$A$179,""))</f>
        <v/>
      </c>
      <c r="D87" s="10">
        <f>COUNTIF(Bins!$D$2:$H$179,A87)</f>
        <v/>
      </c>
      <c r="E87" t="inlineStr">
        <is>
          <t>228-3201-140</t>
        </is>
      </c>
    </row>
    <row r="88">
      <c r="A88" t="inlineStr">
        <is>
          <t>12 Tooth Gear</t>
        </is>
      </c>
      <c r="B88" t="inlineStr">
        <is>
          <t>Gears</t>
        </is>
      </c>
      <c r="C88" s="10">
        <f t="array" ref="C88">TEXTJOIN(", ",TRUE,IF((Bins!$D$2:$D$179=A88)+(Bins!$E$2:$E$179=A88)+(Bins!$F$2:$F$179=A88)+(Bins!$G$2:$G$179=A88)+(Bins!$H$2:$H$179=A88),Bins!$A$2:$A$179,""))</f>
        <v/>
      </c>
      <c r="D88" s="10">
        <f>COUNTIF(Bins!$D$2:$H$179,A88)</f>
        <v/>
      </c>
      <c r="E88" t="inlineStr">
        <is>
          <t>228-2500-213, 228-3196-213</t>
        </is>
      </c>
    </row>
    <row r="89">
      <c r="A89" t="inlineStr">
        <is>
          <t>24 Tooth Gear</t>
        </is>
      </c>
      <c r="B89" t="inlineStr">
        <is>
          <t>Gears</t>
        </is>
      </c>
      <c r="C89" s="10">
        <f t="array" ref="C89">TEXTJOIN(", ",TRUE,IF((Bins!$D$2:$D$179=A89)+(Bins!$E$2:$E$179=A89)+(Bins!$F$2:$F$179=A89)+(Bins!$G$2:$G$179=A89)+(Bins!$H$2:$H$179=A89),Bins!$A$2:$A$179,""))</f>
        <v/>
      </c>
      <c r="D89" s="10">
        <f>COUNTIF(Bins!$D$2:$H$179,A89)</f>
        <v/>
      </c>
      <c r="E89" t="inlineStr">
        <is>
          <t>228-2500-227</t>
        </is>
      </c>
    </row>
    <row r="90">
      <c r="A90" t="inlineStr">
        <is>
          <t>36 Tooth Gear</t>
        </is>
      </c>
      <c r="B90" t="inlineStr">
        <is>
          <t>Gears</t>
        </is>
      </c>
      <c r="C90" s="10">
        <f t="array" ref="C90">TEXTJOIN(", ",TRUE,IF((Bins!$D$2:$D$179=A90)+(Bins!$E$2:$E$179=A90)+(Bins!$F$2:$F$179=A90)+(Bins!$G$2:$G$179=A90)+(Bins!$H$2:$H$179=A90),Bins!$A$2:$A$179,""))</f>
        <v/>
      </c>
      <c r="D90" s="10">
        <f>COUNTIF(Bins!$D$2:$H$179,A90)</f>
        <v/>
      </c>
      <c r="E90" t="inlineStr">
        <is>
          <t>228-2500-214, 228-3196-214</t>
        </is>
      </c>
    </row>
    <row r="91">
      <c r="A91" t="inlineStr">
        <is>
          <t>48 Tooth Gear</t>
        </is>
      </c>
      <c r="B91" t="inlineStr">
        <is>
          <t>Gears</t>
        </is>
      </c>
      <c r="C91" s="10">
        <f t="array" ref="C91">TEXTJOIN(", ",TRUE,IF((Bins!$D$2:$D$179=A91)+(Bins!$E$2:$E$179=A91)+(Bins!$F$2:$F$179=A91)+(Bins!$G$2:$G$179=A91)+(Bins!$H$2:$H$179=A91),Bins!$A$2:$A$179,""))</f>
        <v/>
      </c>
      <c r="D91" s="10">
        <f>COUNTIF(Bins!$D$2:$H$179,A91)</f>
        <v/>
      </c>
      <c r="E91" t="inlineStr">
        <is>
          <t>228-2500-228</t>
        </is>
      </c>
    </row>
    <row r="92">
      <c r="A92" t="inlineStr">
        <is>
          <t>60 Tooth Gear</t>
        </is>
      </c>
      <c r="B92" t="inlineStr">
        <is>
          <t>Gears</t>
        </is>
      </c>
      <c r="C92" s="10">
        <f t="array" ref="C92">TEXTJOIN(", ",TRUE,IF((Bins!$D$2:$D$179=A92)+(Bins!$E$2:$E$179=A92)+(Bins!$F$2:$F$179=A92)+(Bins!$G$2:$G$179=A92)+(Bins!$H$2:$H$179=A92),Bins!$A$2:$A$179,""))</f>
        <v/>
      </c>
      <c r="D92" s="10">
        <f>COUNTIF(Bins!$D$2:$H$179,A92)</f>
        <v/>
      </c>
      <c r="E92" t="inlineStr">
        <is>
          <t>228-3196-215</t>
        </is>
      </c>
    </row>
    <row r="93">
      <c r="A93" t="inlineStr">
        <is>
          <t>36 Tooth Crown Gear</t>
        </is>
      </c>
      <c r="B93" t="inlineStr">
        <is>
          <t>Gears</t>
        </is>
      </c>
      <c r="C93" s="10">
        <f t="array" ref="C93">TEXTJOIN(", ",TRUE,IF((Bins!$D$2:$D$179=A93)+(Bins!$E$2:$E$179=A93)+(Bins!$F$2:$F$179=A93)+(Bins!$G$2:$G$179=A93)+(Bins!$H$2:$H$179=A93),Bins!$A$2:$A$179,""))</f>
        <v/>
      </c>
      <c r="D93" s="10">
        <f>COUNTIF(Bins!$D$2:$H$179,A93)</f>
        <v/>
      </c>
      <c r="E93" t="inlineStr">
        <is>
          <t>228-3196-218</t>
        </is>
      </c>
    </row>
    <row r="94">
      <c r="A94" t="inlineStr">
        <is>
          <t>Worm Bracket</t>
        </is>
      </c>
      <c r="B94" t="inlineStr">
        <is>
          <t>Gears</t>
        </is>
      </c>
      <c r="C94" s="10">
        <f t="array" ref="C94">TEXTJOIN(", ",TRUE,IF((Bins!$D$2:$D$179=A94)+(Bins!$E$2:$E$179=A94)+(Bins!$F$2:$F$179=A94)+(Bins!$G$2:$G$179=A94)+(Bins!$H$2:$H$179=A94),Bins!$A$2:$A$179,""))</f>
        <v/>
      </c>
      <c r="D94" s="10">
        <f>COUNTIF(Bins!$D$2:$H$179,A94)</f>
        <v/>
      </c>
      <c r="E94" t="inlineStr">
        <is>
          <t>228-3196-220</t>
        </is>
      </c>
    </row>
    <row r="95">
      <c r="A95" t="inlineStr">
        <is>
          <t>Worm Gear</t>
        </is>
      </c>
      <c r="B95" t="inlineStr">
        <is>
          <t>Gears</t>
        </is>
      </c>
      <c r="C95" s="10">
        <f t="array" ref="C95">TEXTJOIN(", ",TRUE,IF((Bins!$D$2:$D$179=A95)+(Bins!$E$2:$E$179=A95)+(Bins!$F$2:$F$179=A95)+(Bins!$G$2:$G$179=A95)+(Bins!$H$2:$H$179=A95),Bins!$A$2:$A$179,""))</f>
        <v/>
      </c>
      <c r="D95" s="10">
        <f>COUNTIF(Bins!$D$2:$H$179,A95)</f>
        <v/>
      </c>
      <c r="E95" t="inlineStr">
        <is>
          <t>228-3196-219</t>
        </is>
      </c>
    </row>
    <row r="96">
      <c r="A96" t="inlineStr">
        <is>
          <t>1x4 Crank Arm with 23 Tooth Gear</t>
        </is>
      </c>
      <c r="B96" t="inlineStr">
        <is>
          <t>Gears</t>
        </is>
      </c>
      <c r="C96" s="10">
        <f t="array" ref="C96">TEXTJOIN(", ",TRUE,IF((Bins!$D$2:$D$179=A96)+(Bins!$E$2:$E$179=A96)+(Bins!$F$2:$F$179=A96)+(Bins!$G$2:$G$179=A96)+(Bins!$H$2:$H$179=A96),Bins!$A$2:$A$179,""))</f>
        <v/>
      </c>
      <c r="D96" s="10">
        <f>COUNTIF(Bins!$D$2:$H$179,A96)</f>
        <v/>
      </c>
      <c r="E96" t="inlineStr">
        <is>
          <t>228-2500-246</t>
        </is>
      </c>
    </row>
    <row r="97">
      <c r="A97" t="inlineStr">
        <is>
          <t>8 Tooth Sprocket</t>
        </is>
      </c>
      <c r="B97" t="inlineStr">
        <is>
          <t>Sprockets &amp; Chain</t>
        </is>
      </c>
      <c r="C97" s="10">
        <f t="array" ref="C97">TEXTJOIN(", ",TRUE,IF((Bins!$D$2:$D$179=A97)+(Bins!$E$2:$E$179=A97)+(Bins!$F$2:$F$179=A97)+(Bins!$G$2:$G$179=A97)+(Bins!$H$2:$H$179=A97),Bins!$A$2:$A$179,""))</f>
        <v/>
      </c>
      <c r="D97" s="10">
        <f>COUNTIF(Bins!$D$2:$H$179,A97)</f>
        <v/>
      </c>
      <c r="E97" t="inlineStr">
        <is>
          <t>228-2500-232, 228-3450-232</t>
        </is>
      </c>
    </row>
    <row r="98">
      <c r="A98" t="inlineStr">
        <is>
          <t>16 Tooth Sprocket</t>
        </is>
      </c>
      <c r="B98" t="inlineStr">
        <is>
          <t>Sprockets &amp; Chain</t>
        </is>
      </c>
      <c r="C98" s="10">
        <f t="array" ref="C98">TEXTJOIN(", ",TRUE,IF((Bins!$D$2:$D$179=A98)+(Bins!$E$2:$E$179=A98)+(Bins!$F$2:$F$179=A98)+(Bins!$G$2:$G$179=A98)+(Bins!$H$2:$H$179=A98),Bins!$A$2:$A$179,""))</f>
        <v/>
      </c>
      <c r="D98" s="10">
        <f>COUNTIF(Bins!$D$2:$H$179,A98)</f>
        <v/>
      </c>
      <c r="E98" t="inlineStr">
        <is>
          <t>228-2500-233, 228-3450-233</t>
        </is>
      </c>
    </row>
    <row r="99">
      <c r="A99" t="inlineStr">
        <is>
          <t>24 Tooth Sprocket</t>
        </is>
      </c>
      <c r="B99" t="inlineStr">
        <is>
          <t>Sprockets &amp; Chain</t>
        </is>
      </c>
      <c r="C99" s="10">
        <f t="array" ref="C99">TEXTJOIN(", ",TRUE,IF((Bins!$D$2:$D$179=A99)+(Bins!$E$2:$E$179=A99)+(Bins!$F$2:$F$179=A99)+(Bins!$G$2:$G$179=A99)+(Bins!$H$2:$H$179=A99),Bins!$A$2:$A$179,""))</f>
        <v/>
      </c>
      <c r="D99" s="10">
        <f>COUNTIF(Bins!$D$2:$H$179,A99)</f>
        <v/>
      </c>
      <c r="E99" t="inlineStr">
        <is>
          <t>228-2500-235, 228-3450-235</t>
        </is>
      </c>
    </row>
    <row r="100">
      <c r="A100" t="inlineStr">
        <is>
          <t>32 Tooth Sprocket</t>
        </is>
      </c>
      <c r="B100" t="inlineStr">
        <is>
          <t>Sprockets &amp; Chain</t>
        </is>
      </c>
      <c r="C100" s="10">
        <f t="array" ref="C100">TEXTJOIN(", ",TRUE,IF((Bins!$D$2:$D$179=A100)+(Bins!$E$2:$E$179=A100)+(Bins!$F$2:$F$179=A100)+(Bins!$G$2:$G$179=A100)+(Bins!$H$2:$H$179=A100),Bins!$A$2:$A$179,""))</f>
        <v/>
      </c>
      <c r="D100" s="10">
        <f>COUNTIF(Bins!$D$2:$H$179,A100)</f>
        <v/>
      </c>
      <c r="E100" t="inlineStr">
        <is>
          <t>228-3450-236</t>
        </is>
      </c>
    </row>
    <row r="101">
      <c r="A101" t="inlineStr">
        <is>
          <t>40 Tooth Sprocket</t>
        </is>
      </c>
      <c r="B101" t="inlineStr">
        <is>
          <t>Sprockets &amp; Chain</t>
        </is>
      </c>
      <c r="C101" s="10">
        <f t="array" ref="C101">TEXTJOIN(", ",TRUE,IF((Bins!$D$2:$D$179=A101)+(Bins!$E$2:$E$179=A101)+(Bins!$F$2:$F$179=A101)+(Bins!$G$2:$G$179=A101)+(Bins!$H$2:$H$179=A101),Bins!$A$2:$A$179,""))</f>
        <v/>
      </c>
      <c r="D101" s="10">
        <f>COUNTIF(Bins!$D$2:$H$179,A101)</f>
        <v/>
      </c>
      <c r="E101" t="inlineStr">
        <is>
          <t>228-3450-237</t>
        </is>
      </c>
    </row>
    <row r="102">
      <c r="A102" t="inlineStr">
        <is>
          <t>10mm Pulley</t>
        </is>
      </c>
      <c r="B102" t="inlineStr">
        <is>
          <t>Pulleys &amp; Belts</t>
        </is>
      </c>
      <c r="C102" s="10">
        <f t="array" ref="C102">TEXTJOIN(", ",TRUE,IF((Bins!$D$2:$D$179=A102)+(Bins!$E$2:$E$179=A102)+(Bins!$F$2:$F$179=A102)+(Bins!$G$2:$G$179=A102)+(Bins!$H$2:$H$179=A102),Bins!$A$2:$A$179,""))</f>
        <v/>
      </c>
      <c r="D102" s="10">
        <f>COUNTIF(Bins!$D$2:$H$179,A102)</f>
        <v/>
      </c>
      <c r="E102" t="inlineStr">
        <is>
          <t>228-3196-163</t>
        </is>
      </c>
    </row>
    <row r="103">
      <c r="A103" t="inlineStr">
        <is>
          <t>20mm Pulley</t>
        </is>
      </c>
      <c r="B103" t="inlineStr">
        <is>
          <t>Pulleys &amp; Belts</t>
        </is>
      </c>
      <c r="C103" s="10">
        <f t="array" ref="C103">TEXTJOIN(", ",TRUE,IF((Bins!$D$2:$D$179=A103)+(Bins!$E$2:$E$179=A103)+(Bins!$F$2:$F$179=A103)+(Bins!$G$2:$G$179=A103)+(Bins!$H$2:$H$179=A103),Bins!$A$2:$A$179,""))</f>
        <v/>
      </c>
      <c r="D103" s="10">
        <f>COUNTIF(Bins!$D$2:$H$179,A103)</f>
        <v/>
      </c>
      <c r="E103" t="inlineStr">
        <is>
          <t>228-3196-164</t>
        </is>
      </c>
    </row>
    <row r="104">
      <c r="A104" t="inlineStr">
        <is>
          <t>20mm Pulley Tire Add-On</t>
        </is>
      </c>
      <c r="B104" t="inlineStr">
        <is>
          <t>Pulleys &amp; Belts</t>
        </is>
      </c>
      <c r="C104" s="10">
        <f t="array" ref="C104">TEXTJOIN(", ",TRUE,IF((Bins!$D$2:$D$179=A104)+(Bins!$E$2:$E$179=A104)+(Bins!$F$2:$F$179=A104)+(Bins!$G$2:$G$179=A104)+(Bins!$H$2:$H$179=A104),Bins!$A$2:$A$179,""))</f>
        <v/>
      </c>
      <c r="D104" s="10">
        <f>COUNTIF(Bins!$D$2:$H$179,A104)</f>
        <v/>
      </c>
      <c r="E104" t="inlineStr">
        <is>
          <t>228-3447-207</t>
        </is>
      </c>
    </row>
    <row r="105">
      <c r="A105" t="inlineStr">
        <is>
          <t>30mm Pulley</t>
        </is>
      </c>
      <c r="B105" t="inlineStr">
        <is>
          <t>Pulleys &amp; Belts</t>
        </is>
      </c>
      <c r="C105" s="10">
        <f t="array" ref="C105">TEXTJOIN(", ",TRUE,IF((Bins!$D$2:$D$179=A105)+(Bins!$E$2:$E$179=A105)+(Bins!$F$2:$F$179=A105)+(Bins!$G$2:$G$179=A105)+(Bins!$H$2:$H$179=A105),Bins!$A$2:$A$179,""))</f>
        <v/>
      </c>
      <c r="D105" s="10">
        <f>COUNTIF(Bins!$D$2:$H$179,A105)</f>
        <v/>
      </c>
      <c r="E105" t="inlineStr">
        <is>
          <t>228-3196-165</t>
        </is>
      </c>
    </row>
    <row r="106">
      <c r="A106" t="inlineStr">
        <is>
          <t>40mm Pulley</t>
        </is>
      </c>
      <c r="B106" t="inlineStr">
        <is>
          <t>Pulleys &amp; Belts</t>
        </is>
      </c>
      <c r="C106" s="10">
        <f t="array" ref="C106">TEXTJOIN(", ",TRUE,IF((Bins!$D$2:$D$179=A106)+(Bins!$E$2:$E$179=A106)+(Bins!$F$2:$F$179=A106)+(Bins!$G$2:$G$179=A106)+(Bins!$H$2:$H$179=A106),Bins!$A$2:$A$179,""))</f>
        <v/>
      </c>
      <c r="D106" s="10">
        <f>COUNTIF(Bins!$D$2:$H$179,A106)</f>
        <v/>
      </c>
      <c r="E106" t="inlineStr">
        <is>
          <t>228-3196-166</t>
        </is>
      </c>
    </row>
    <row r="107">
      <c r="A107" t="inlineStr">
        <is>
          <t>Belt (2mm thick x 30mm dia)</t>
        </is>
      </c>
      <c r="B107" t="inlineStr">
        <is>
          <t>Pulleys &amp; Belts</t>
        </is>
      </c>
      <c r="C107" s="10">
        <f t="array" ref="C107">TEXTJOIN(", ",TRUE,IF((Bins!$D$2:$D$179=A107)+(Bins!$E$2:$E$179=A107)+(Bins!$F$2:$F$179=A107)+(Bins!$G$2:$G$179=A107)+(Bins!$H$2:$H$179=A107),Bins!$A$2:$A$179,""))</f>
        <v/>
      </c>
      <c r="D107" s="10">
        <f>COUNTIF(Bins!$D$2:$H$179,A107)</f>
        <v/>
      </c>
      <c r="E107" t="inlineStr">
        <is>
          <t>228-3447-221</t>
        </is>
      </c>
    </row>
    <row r="108">
      <c r="A108" t="inlineStr">
        <is>
          <t>Belt (2mm thick x 40mm dia)</t>
        </is>
      </c>
      <c r="B108" t="inlineStr">
        <is>
          <t>Pulleys &amp; Belts</t>
        </is>
      </c>
      <c r="C108" s="10">
        <f t="array" ref="C108">TEXTJOIN(", ",TRUE,IF((Bins!$D$2:$D$179=A108)+(Bins!$E$2:$E$179=A108)+(Bins!$F$2:$F$179=A108)+(Bins!$G$2:$G$179=A108)+(Bins!$H$2:$H$179=A108),Bins!$A$2:$A$179,""))</f>
        <v/>
      </c>
      <c r="D108" s="10">
        <f>COUNTIF(Bins!$D$2:$H$179,A108)</f>
        <v/>
      </c>
      <c r="E108" t="inlineStr">
        <is>
          <t>228-3447-222</t>
        </is>
      </c>
    </row>
    <row r="109">
      <c r="A109" t="inlineStr">
        <is>
          <t>Belt (2mm thick x 50mm dia)</t>
        </is>
      </c>
      <c r="B109" t="inlineStr">
        <is>
          <t>Pulleys &amp; Belts</t>
        </is>
      </c>
      <c r="C109" s="10">
        <f t="array" ref="C109">TEXTJOIN(", ",TRUE,IF((Bins!$D$2:$D$179=A109)+(Bins!$E$2:$E$179=A109)+(Bins!$F$2:$F$179=A109)+(Bins!$G$2:$G$179=A109)+(Bins!$H$2:$H$179=A109),Bins!$A$2:$A$179,""))</f>
        <v/>
      </c>
      <c r="D109" s="10">
        <f>COUNTIF(Bins!$D$2:$H$179,A109)</f>
        <v/>
      </c>
      <c r="E109" t="inlineStr">
        <is>
          <t>228-3447-223</t>
        </is>
      </c>
    </row>
    <row r="110">
      <c r="A110" t="inlineStr">
        <is>
          <t>Belt (2mm thick x 60mm dia)</t>
        </is>
      </c>
      <c r="B110" t="inlineStr">
        <is>
          <t>Pulleys &amp; Belts</t>
        </is>
      </c>
      <c r="C110" s="10">
        <f t="array" ref="C110">TEXTJOIN(", ",TRUE,IF((Bins!$D$2:$D$179=A110)+(Bins!$E$2:$E$179=A110)+(Bins!$F$2:$F$179=A110)+(Bins!$G$2:$G$179=A110)+(Bins!$H$2:$H$179=A110),Bins!$A$2:$A$179,""))</f>
        <v/>
      </c>
      <c r="D110" s="10">
        <f>COUNTIF(Bins!$D$2:$H$179,A110)</f>
        <v/>
      </c>
      <c r="E110" t="inlineStr">
        <is>
          <t>228-3447-224</t>
        </is>
      </c>
    </row>
    <row r="111">
      <c r="A111" t="inlineStr">
        <is>
          <t>1x Pitch Plastic Motor Shaft</t>
        </is>
      </c>
      <c r="B111" t="inlineStr">
        <is>
          <t>Shafts &amp; Rotation</t>
        </is>
      </c>
      <c r="C111" s="10">
        <f t="array" ref="C111">TEXTJOIN(", ",TRUE,IF((Bins!$D$2:$D$179=A111)+(Bins!$E$2:$E$179=A111)+(Bins!$F$2:$F$179=A111)+(Bins!$G$2:$G$179=A111)+(Bins!$H$2:$H$179=A111),Bins!$A$2:$A$179,""))</f>
        <v/>
      </c>
      <c r="D111" s="10">
        <f>COUNTIF(Bins!$D$2:$H$179,A111)</f>
        <v/>
      </c>
      <c r="E111" t="inlineStr">
        <is>
          <t>228-2500-328</t>
        </is>
      </c>
    </row>
    <row r="112">
      <c r="A112" t="inlineStr">
        <is>
          <t>2x Pitch Plastic Motor Shaft</t>
        </is>
      </c>
      <c r="B112" t="inlineStr">
        <is>
          <t>Shafts &amp; Rotation</t>
        </is>
      </c>
      <c r="C112" s="10">
        <f t="array" ref="C112">TEXTJOIN(", ",TRUE,IF((Bins!$D$2:$D$179=A112)+(Bins!$E$2:$E$179=A112)+(Bins!$F$2:$F$179=A112)+(Bins!$G$2:$G$179=A112)+(Bins!$H$2:$H$179=A112),Bins!$A$2:$A$179,""))</f>
        <v/>
      </c>
      <c r="D112" s="10">
        <f>COUNTIF(Bins!$D$2:$H$179,A112)</f>
        <v/>
      </c>
      <c r="E112" t="inlineStr">
        <is>
          <t>228-2500-078</t>
        </is>
      </c>
    </row>
    <row r="113">
      <c r="A113" t="inlineStr">
        <is>
          <t>3x Pitch Plastic Motor Shaft</t>
        </is>
      </c>
      <c r="B113" t="inlineStr">
        <is>
          <t>Shafts &amp; Rotation</t>
        </is>
      </c>
      <c r="C113" s="10">
        <f t="array" ref="C113">TEXTJOIN(", ",TRUE,IF((Bins!$D$2:$D$179=A113)+(Bins!$E$2:$E$179=A113)+(Bins!$F$2:$F$179=A113)+(Bins!$G$2:$G$179=A113)+(Bins!$H$2:$H$179=A113),Bins!$A$2:$A$179,""))</f>
        <v/>
      </c>
      <c r="D113" s="10">
        <f>COUNTIF(Bins!$D$2:$H$179,A113)</f>
        <v/>
      </c>
      <c r="E113" t="inlineStr">
        <is>
          <t>228-2500-094</t>
        </is>
      </c>
    </row>
    <row r="114">
      <c r="A114" t="inlineStr">
        <is>
          <t>4x Pitch Plastic Motor Shaft</t>
        </is>
      </c>
      <c r="B114" t="inlineStr">
        <is>
          <t>Shafts &amp; Rotation</t>
        </is>
      </c>
      <c r="C114" s="10">
        <f t="array" ref="C114">TEXTJOIN(", ",TRUE,IF((Bins!$D$2:$D$179=A114)+(Bins!$E$2:$E$179=A114)+(Bins!$F$2:$F$179=A114)+(Bins!$G$2:$G$179=A114)+(Bins!$H$2:$H$179=A114),Bins!$A$2:$A$179,""))</f>
        <v/>
      </c>
      <c r="D114" s="10">
        <f>COUNTIF(Bins!$D$2:$H$179,A114)</f>
        <v/>
      </c>
      <c r="E114" t="inlineStr">
        <is>
          <t>228-2500-079</t>
        </is>
      </c>
    </row>
    <row r="115">
      <c r="A115" t="inlineStr">
        <is>
          <t>3x Pitch Capped Plastic Shaft</t>
        </is>
      </c>
      <c r="B115" t="inlineStr">
        <is>
          <t>Shafts &amp; Rotation</t>
        </is>
      </c>
      <c r="C115" s="10">
        <f t="array" ref="C115">TEXTJOIN(", ",TRUE,IF((Bins!$D$2:$D$179=A115)+(Bins!$E$2:$E$179=A115)+(Bins!$F$2:$F$179=A115)+(Bins!$G$2:$G$179=A115)+(Bins!$H$2:$H$179=A115),Bins!$A$2:$A$179,""))</f>
        <v/>
      </c>
      <c r="D115" s="10">
        <f>COUNTIF(Bins!$D$2:$H$179,A115)</f>
        <v/>
      </c>
      <c r="E115" t="inlineStr">
        <is>
          <t>228-2500-081</t>
        </is>
      </c>
    </row>
    <row r="116">
      <c r="A116" t="inlineStr">
        <is>
          <t>5x Pitch Capped Plastic Shaft</t>
        </is>
      </c>
      <c r="B116" t="inlineStr">
        <is>
          <t>Shafts &amp; Rotation</t>
        </is>
      </c>
      <c r="C116" s="10">
        <f t="array" ref="C116">TEXTJOIN(", ",TRUE,IF((Bins!$D$2:$D$179=A116)+(Bins!$E$2:$E$179=A116)+(Bins!$F$2:$F$179=A116)+(Bins!$G$2:$G$179=A116)+(Bins!$H$2:$H$179=A116),Bins!$A$2:$A$179,""))</f>
        <v/>
      </c>
      <c r="D116" s="10">
        <f>COUNTIF(Bins!$D$2:$H$179,A116)</f>
        <v/>
      </c>
      <c r="E116" t="inlineStr">
        <is>
          <t>228-2500-083</t>
        </is>
      </c>
    </row>
    <row r="117">
      <c r="A117" t="inlineStr">
        <is>
          <t>2x Pitch Capped Shaft</t>
        </is>
      </c>
      <c r="B117" t="inlineStr">
        <is>
          <t>Shafts &amp; Rotation</t>
        </is>
      </c>
      <c r="C117" s="10">
        <f t="array" ref="C117">TEXTJOIN(", ",TRUE,IF((Bins!$D$2:$D$179=A117)+(Bins!$E$2:$E$179=A117)+(Bins!$F$2:$F$179=A117)+(Bins!$G$2:$G$179=A117)+(Bins!$H$2:$H$179=A117),Bins!$A$2:$A$179,""))</f>
        <v/>
      </c>
      <c r="D117" s="10">
        <f>COUNTIF(Bins!$D$2:$H$179,A117)</f>
        <v/>
      </c>
      <c r="E117" t="inlineStr">
        <is>
          <t>228-2500-2219</t>
        </is>
      </c>
    </row>
    <row r="118">
      <c r="A118" t="inlineStr">
        <is>
          <t>3x Pitch Capped Shaft</t>
        </is>
      </c>
      <c r="B118" t="inlineStr">
        <is>
          <t>Shafts &amp; Rotation</t>
        </is>
      </c>
      <c r="C118" s="10">
        <f t="array" ref="C118">TEXTJOIN(", ",TRUE,IF((Bins!$D$2:$D$179=A118)+(Bins!$E$2:$E$179=A118)+(Bins!$F$2:$F$179=A118)+(Bins!$G$2:$G$179=A118)+(Bins!$H$2:$H$179=A118),Bins!$A$2:$A$179,""))</f>
        <v/>
      </c>
      <c r="D118" s="10">
        <f>COUNTIF(Bins!$D$2:$H$179,A118)</f>
        <v/>
      </c>
      <c r="E118" t="inlineStr">
        <is>
          <t>228-2500-2221</t>
        </is>
      </c>
    </row>
    <row r="119">
      <c r="A119" t="inlineStr">
        <is>
          <t>4x Pitch Capped Shaft</t>
        </is>
      </c>
      <c r="B119" t="inlineStr">
        <is>
          <t>Shafts &amp; Rotation</t>
        </is>
      </c>
      <c r="C119" s="10">
        <f t="array" ref="C119">TEXTJOIN(", ",TRUE,IF((Bins!$D$2:$D$179=A119)+(Bins!$E$2:$E$179=A119)+(Bins!$F$2:$F$179=A119)+(Bins!$G$2:$G$179=A119)+(Bins!$H$2:$H$179=A119),Bins!$A$2:$A$179,""))</f>
        <v/>
      </c>
      <c r="D119" s="10">
        <f>COUNTIF(Bins!$D$2:$H$179,A119)</f>
        <v/>
      </c>
      <c r="E119" t="inlineStr">
        <is>
          <t>228-2500-2223</t>
        </is>
      </c>
    </row>
    <row r="120">
      <c r="A120" t="inlineStr">
        <is>
          <t>5x Pitch Capped Shaft</t>
        </is>
      </c>
      <c r="B120" t="inlineStr">
        <is>
          <t>Shafts &amp; Rotation</t>
        </is>
      </c>
      <c r="C120" s="10">
        <f t="array" ref="C120">TEXTJOIN(", ",TRUE,IF((Bins!$D$2:$D$179=A120)+(Bins!$E$2:$E$179=A120)+(Bins!$F$2:$F$179=A120)+(Bins!$G$2:$G$179=A120)+(Bins!$H$2:$H$179=A120),Bins!$A$2:$A$179,""))</f>
        <v/>
      </c>
      <c r="D120" s="10">
        <f>COUNTIF(Bins!$D$2:$H$179,A120)</f>
        <v/>
      </c>
      <c r="E120" t="inlineStr">
        <is>
          <t>228-2500-2225</t>
        </is>
      </c>
    </row>
    <row r="121">
      <c r="A121" t="inlineStr">
        <is>
          <t>2x Pitch Motor Shaft</t>
        </is>
      </c>
      <c r="B121" t="inlineStr">
        <is>
          <t>Shafts &amp; Rotation</t>
        </is>
      </c>
      <c r="C121" s="10">
        <f t="array" ref="C121">TEXTJOIN(", ",TRUE,IF((Bins!$D$2:$D$179=A121)+(Bins!$E$2:$E$179=A121)+(Bins!$F$2:$F$179=A121)+(Bins!$G$2:$G$179=A121)+(Bins!$H$2:$H$179=A121),Bins!$A$2:$A$179,""))</f>
        <v/>
      </c>
      <c r="D121" s="10">
        <f>COUNTIF(Bins!$D$2:$H$179,A121)</f>
        <v/>
      </c>
      <c r="E121" t="inlineStr">
        <is>
          <t>228-2500-2234</t>
        </is>
      </c>
    </row>
    <row r="122">
      <c r="A122" t="inlineStr">
        <is>
          <t>3x Pitch Motor Shaft</t>
        </is>
      </c>
      <c r="B122" t="inlineStr">
        <is>
          <t>Shafts &amp; Rotation</t>
        </is>
      </c>
      <c r="C122" s="10">
        <f t="array" ref="C122">TEXTJOIN(", ",TRUE,IF((Bins!$D$2:$D$179=A122)+(Bins!$E$2:$E$179=A122)+(Bins!$F$2:$F$179=A122)+(Bins!$G$2:$G$179=A122)+(Bins!$H$2:$H$179=A122),Bins!$A$2:$A$179,""))</f>
        <v/>
      </c>
      <c r="D122" s="10">
        <f>COUNTIF(Bins!$D$2:$H$179,A122)</f>
        <v/>
      </c>
      <c r="E122" t="inlineStr">
        <is>
          <t>228-2500-2236</t>
        </is>
      </c>
    </row>
    <row r="123">
      <c r="A123" t="inlineStr">
        <is>
          <t>4x Pitch Motor Shaft</t>
        </is>
      </c>
      <c r="B123" t="inlineStr">
        <is>
          <t>Shafts &amp; Rotation</t>
        </is>
      </c>
      <c r="C123" s="10">
        <f t="array" ref="C123">TEXTJOIN(", ",TRUE,IF((Bins!$D$2:$D$179=A123)+(Bins!$E$2:$E$179=A123)+(Bins!$F$2:$F$179=A123)+(Bins!$G$2:$G$179=A123)+(Bins!$H$2:$H$179=A123),Bins!$A$2:$A$179,""))</f>
        <v/>
      </c>
      <c r="D123" s="10">
        <f>COUNTIF(Bins!$D$2:$H$179,A123)</f>
        <v/>
      </c>
      <c r="E123" t="inlineStr">
        <is>
          <t>228-2500-2238</t>
        </is>
      </c>
    </row>
    <row r="124">
      <c r="A124" t="inlineStr">
        <is>
          <t>0x2 Connector Pin</t>
        </is>
      </c>
      <c r="B124" t="inlineStr">
        <is>
          <t>Pins &amp; Standoffs</t>
        </is>
      </c>
      <c r="C124" s="10">
        <f t="array" ref="C124">TEXTJOIN(", ",TRUE,IF((Bins!$D$2:$D$179=A124)+(Bins!$E$2:$E$179=A124)+(Bins!$F$2:$F$179=A124)+(Bins!$G$2:$G$179=A124)+(Bins!$H$2:$H$179=A124),Bins!$A$2:$A$179,""))</f>
        <v/>
      </c>
      <c r="D124" s="10">
        <f>COUNTIF(Bins!$D$2:$H$179,A124)</f>
        <v/>
      </c>
      <c r="E124" t="inlineStr">
        <is>
          <t>228-2500-086</t>
        </is>
      </c>
    </row>
    <row r="125">
      <c r="A125" t="inlineStr">
        <is>
          <t>0x3 Connector Pin</t>
        </is>
      </c>
      <c r="B125" t="inlineStr">
        <is>
          <t>Pins &amp; Standoffs</t>
        </is>
      </c>
      <c r="C125" s="10">
        <f t="array" ref="C125">TEXTJOIN(", ",TRUE,IF((Bins!$D$2:$D$179=A125)+(Bins!$E$2:$E$179=A125)+(Bins!$F$2:$F$179=A125)+(Bins!$G$2:$G$179=A125)+(Bins!$H$2:$H$179=A125),Bins!$A$2:$A$179,""))</f>
        <v/>
      </c>
      <c r="D125" s="10">
        <f>COUNTIF(Bins!$D$2:$H$179,A125)</f>
        <v/>
      </c>
      <c r="E125" t="inlineStr">
        <is>
          <t>228-2500-087</t>
        </is>
      </c>
    </row>
    <row r="126">
      <c r="A126" t="inlineStr">
        <is>
          <t>1x1 Idler Pin</t>
        </is>
      </c>
      <c r="B126" t="inlineStr">
        <is>
          <t>Pins &amp; Standoffs</t>
        </is>
      </c>
      <c r="C126" s="10">
        <f t="array" ref="C126">TEXTJOIN(", ",TRUE,IF((Bins!$D$2:$D$179=A126)+(Bins!$E$2:$E$179=A126)+(Bins!$F$2:$F$179=A126)+(Bins!$G$2:$G$179=A126)+(Bins!$H$2:$H$179=A126),Bins!$A$2:$A$179,""))</f>
        <v/>
      </c>
      <c r="D126" s="10">
        <f>COUNTIF(Bins!$D$2:$H$179,A126)</f>
        <v/>
      </c>
      <c r="E126" t="inlineStr">
        <is>
          <t>228-2500-073</t>
        </is>
      </c>
    </row>
    <row r="127">
      <c r="A127" t="inlineStr">
        <is>
          <t>0x2 Idler Pin</t>
        </is>
      </c>
      <c r="B127" t="inlineStr">
        <is>
          <t>Pins &amp; Standoffs</t>
        </is>
      </c>
      <c r="C127" s="10">
        <f t="array" ref="C127">TEXTJOIN(", ",TRUE,IF((Bins!$D$2:$D$179=A127)+(Bins!$E$2:$E$179=A127)+(Bins!$F$2:$F$179=A127)+(Bins!$G$2:$G$179=A127)+(Bins!$H$2:$H$179=A127),Bins!$A$2:$A$179,""))</f>
        <v/>
      </c>
      <c r="D127" s="10">
        <f>COUNTIF(Bins!$D$2:$H$179,A127)</f>
        <v/>
      </c>
      <c r="E127" t="inlineStr">
        <is>
          <t>228-2500-084, 228-3944-084</t>
        </is>
      </c>
    </row>
    <row r="128">
      <c r="A128" t="inlineStr">
        <is>
          <t>0x3 Idler Pin</t>
        </is>
      </c>
      <c r="B128" t="inlineStr">
        <is>
          <t>Pins &amp; Standoffs</t>
        </is>
      </c>
      <c r="C128" s="10">
        <f t="array" ref="C128">TEXTJOIN(", ",TRUE,IF((Bins!$D$2:$D$179=A128)+(Bins!$E$2:$E$179=A128)+(Bins!$F$2:$F$179=A128)+(Bins!$G$2:$G$179=A128)+(Bins!$H$2:$H$179=A128),Bins!$A$2:$A$179,""))</f>
        <v/>
      </c>
      <c r="D128" s="10">
        <f>COUNTIF(Bins!$D$2:$H$179,A128)</f>
        <v/>
      </c>
      <c r="E128" t="inlineStr">
        <is>
          <t>228-3944-097</t>
        </is>
      </c>
    </row>
    <row r="129">
      <c r="A129" t="inlineStr">
        <is>
          <t>1x2 Idler Pin</t>
        </is>
      </c>
      <c r="B129" t="inlineStr">
        <is>
          <t>Pins &amp; Standoffs</t>
        </is>
      </c>
      <c r="C129" s="10">
        <f t="array" ref="C129">TEXTJOIN(", ",TRUE,IF((Bins!$D$2:$D$179=A129)+(Bins!$E$2:$E$179=A129)+(Bins!$F$2:$F$179=A129)+(Bins!$G$2:$G$179=A129)+(Bins!$H$2:$H$179=A129),Bins!$A$2:$A$179,""))</f>
        <v/>
      </c>
      <c r="D129" s="10">
        <f>COUNTIF(Bins!$D$2:$H$179,A129)</f>
        <v/>
      </c>
      <c r="E129" t="inlineStr">
        <is>
          <t>228-3944-098</t>
        </is>
      </c>
    </row>
    <row r="130">
      <c r="A130" t="inlineStr">
        <is>
          <t>0.25x Pitch Spacer</t>
        </is>
      </c>
      <c r="B130" t="inlineStr">
        <is>
          <t>Shafts &amp; Rotation</t>
        </is>
      </c>
      <c r="C130" s="10">
        <f t="array" ref="C130">TEXTJOIN(", ",TRUE,IF((Bins!$D$2:$D$179=A130)+(Bins!$E$2:$E$179=A130)+(Bins!$F$2:$F$179=A130)+(Bins!$G$2:$G$179=A130)+(Bins!$H$2:$H$179=A130),Bins!$A$2:$A$179,""))</f>
        <v/>
      </c>
      <c r="D130" s="10">
        <f>COUNTIF(Bins!$D$2:$H$179,A130)</f>
        <v/>
      </c>
      <c r="E130" t="inlineStr">
        <is>
          <t>228-2500-114</t>
        </is>
      </c>
    </row>
    <row r="131">
      <c r="A131" t="inlineStr">
        <is>
          <t>0.5x Pitch Spacer</t>
        </is>
      </c>
      <c r="B131" t="inlineStr">
        <is>
          <t>Shafts &amp; Rotation</t>
        </is>
      </c>
      <c r="C131" s="10">
        <f t="array" ref="C131">TEXTJOIN(", ",TRUE,IF((Bins!$D$2:$D$179=A131)+(Bins!$E$2:$E$179=A131)+(Bins!$F$2:$F$179=A131)+(Bins!$G$2:$G$179=A131)+(Bins!$H$2:$H$179=A131),Bins!$A$2:$A$179,""))</f>
        <v/>
      </c>
      <c r="D131" s="10">
        <f>COUNTIF(Bins!$D$2:$H$179,A131)</f>
        <v/>
      </c>
      <c r="E131" t="inlineStr">
        <is>
          <t>228-3201-114</t>
        </is>
      </c>
    </row>
    <row r="132">
      <c r="A132" t="inlineStr">
        <is>
          <t>Shaft Bushing</t>
        </is>
      </c>
      <c r="B132" t="inlineStr">
        <is>
          <t>Shafts &amp; Rotation</t>
        </is>
      </c>
      <c r="C132" s="10">
        <f t="array" ref="C132">TEXTJOIN(", ",TRUE,IF((Bins!$D$2:$D$179=A132)+(Bins!$E$2:$E$179=A132)+(Bins!$F$2:$F$179=A132)+(Bins!$G$2:$G$179=A132)+(Bins!$H$2:$H$179=A132),Bins!$A$2:$A$179,""))</f>
        <v/>
      </c>
      <c r="D132" s="10">
        <f>COUNTIF(Bins!$D$2:$H$179,A132)</f>
        <v/>
      </c>
      <c r="E132" t="inlineStr">
        <is>
          <t>228-3201-125</t>
        </is>
      </c>
    </row>
    <row r="133">
      <c r="A133" t="inlineStr">
        <is>
          <t>0.25x Pitch Standoff</t>
        </is>
      </c>
      <c r="B133" t="inlineStr">
        <is>
          <t>Pins &amp; Standoffs</t>
        </is>
      </c>
      <c r="C133" s="10">
        <f t="array" ref="C133">TEXTJOIN(", ",TRUE,IF((Bins!$D$2:$D$179=A133)+(Bins!$E$2:$E$179=A133)+(Bins!$F$2:$F$179=A133)+(Bins!$G$2:$G$179=A133)+(Bins!$H$2:$H$179=A133),Bins!$A$2:$A$179,""))</f>
        <v/>
      </c>
      <c r="D133" s="10">
        <f>COUNTIF(Bins!$D$2:$H$179,A133)</f>
        <v/>
      </c>
      <c r="E133" t="inlineStr">
        <is>
          <t>228-2500-063</t>
        </is>
      </c>
    </row>
    <row r="134">
      <c r="A134" t="inlineStr">
        <is>
          <t>0.5x Pitch Standoff</t>
        </is>
      </c>
      <c r="B134" t="inlineStr">
        <is>
          <t>Pins &amp; Standoffs</t>
        </is>
      </c>
      <c r="C134" s="10">
        <f t="array" ref="C134">TEXTJOIN(", ",TRUE,IF((Bins!$D$2:$D$179=A134)+(Bins!$E$2:$E$179=A134)+(Bins!$F$2:$F$179=A134)+(Bins!$G$2:$G$179=A134)+(Bins!$H$2:$H$179=A134),Bins!$A$2:$A$179,""))</f>
        <v/>
      </c>
      <c r="D134" s="10">
        <f>COUNTIF(Bins!$D$2:$H$179,A134)</f>
        <v/>
      </c>
      <c r="E134" t="inlineStr">
        <is>
          <t>228-2500-064, 228-3201-064</t>
        </is>
      </c>
    </row>
    <row r="135">
      <c r="A135" t="inlineStr">
        <is>
          <t>1x Pitch Standoff</t>
        </is>
      </c>
      <c r="B135" t="inlineStr">
        <is>
          <t>Pins &amp; Standoffs</t>
        </is>
      </c>
      <c r="C135" s="10">
        <f t="array" ref="C135">TEXTJOIN(", ",TRUE,IF((Bins!$D$2:$D$179=A135)+(Bins!$E$2:$E$179=A135)+(Bins!$F$2:$F$179=A135)+(Bins!$G$2:$G$179=A135)+(Bins!$H$2:$H$179=A135),Bins!$A$2:$A$179,""))</f>
        <v/>
      </c>
      <c r="D135" s="10">
        <f>COUNTIF(Bins!$D$2:$H$179,A135)</f>
        <v/>
      </c>
      <c r="E135" t="inlineStr">
        <is>
          <t>228-2500-065, 228-3201-065</t>
        </is>
      </c>
    </row>
    <row r="136">
      <c r="A136" t="inlineStr">
        <is>
          <t>2x Pitch Standoff</t>
        </is>
      </c>
      <c r="B136" t="inlineStr">
        <is>
          <t>Pins &amp; Standoffs</t>
        </is>
      </c>
      <c r="C136" s="10">
        <f t="array" ref="C136">TEXTJOIN(", ",TRUE,IF((Bins!$D$2:$D$179=A136)+(Bins!$E$2:$E$179=A136)+(Bins!$F$2:$F$179=A136)+(Bins!$G$2:$G$179=A136)+(Bins!$H$2:$H$179=A136),Bins!$A$2:$A$179,""))</f>
        <v/>
      </c>
      <c r="D136" s="10">
        <f>COUNTIF(Bins!$D$2:$H$179,A136)</f>
        <v/>
      </c>
      <c r="E136" t="inlineStr">
        <is>
          <t>228-2500-067, 228-3201-067</t>
        </is>
      </c>
    </row>
    <row r="137">
      <c r="A137" t="inlineStr">
        <is>
          <t>4x Pitch Standoff</t>
        </is>
      </c>
      <c r="B137" t="inlineStr">
        <is>
          <t>Pins &amp; Standoffs</t>
        </is>
      </c>
      <c r="C137" s="10">
        <f t="array" ref="C137">TEXTJOIN(", ",TRUE,IF((Bins!$D$2:$D$179=A137)+(Bins!$E$2:$E$179=A137)+(Bins!$F$2:$F$179=A137)+(Bins!$G$2:$G$179=A137)+(Bins!$H$2:$H$179=A137),Bins!$A$2:$A$179,""))</f>
        <v/>
      </c>
      <c r="D137" s="10">
        <f>COUNTIF(Bins!$D$2:$H$179,A137)</f>
        <v/>
      </c>
      <c r="E137" t="inlineStr">
        <is>
          <t>228-2500-070, 228-3201-070</t>
        </is>
      </c>
    </row>
    <row r="138">
      <c r="A138" t="inlineStr">
        <is>
          <t>6x Pitch Standoff</t>
        </is>
      </c>
      <c r="B138" t="inlineStr">
        <is>
          <t>Pins &amp; Standoffs</t>
        </is>
      </c>
      <c r="C138" s="10">
        <f t="array" ref="C138">TEXTJOIN(", ",TRUE,IF((Bins!$D$2:$D$179=A138)+(Bins!$E$2:$E$179=A138)+(Bins!$F$2:$F$179=A138)+(Bins!$G$2:$G$179=A138)+(Bins!$H$2:$H$179=A138),Bins!$A$2:$A$179,""))</f>
        <v/>
      </c>
      <c r="D138" s="10">
        <f>COUNTIF(Bins!$D$2:$H$179,A138)</f>
        <v/>
      </c>
      <c r="E138" t="inlineStr">
        <is>
          <t>228-2500-072, 228-3201-072</t>
        </is>
      </c>
    </row>
    <row r="139">
      <c r="A139" t="inlineStr">
        <is>
          <t>0.5x Pitch Standoff Extender</t>
        </is>
      </c>
      <c r="B139" t="inlineStr">
        <is>
          <t>Pins &amp; Standoffs</t>
        </is>
      </c>
      <c r="C139" s="10">
        <f t="array" ref="C139">TEXTJOIN(", ",TRUE,IF((Bins!$D$2:$D$179=A139)+(Bins!$E$2:$E$179=A139)+(Bins!$F$2:$F$179=A139)+(Bins!$G$2:$G$179=A139)+(Bins!$H$2:$H$179=A139),Bins!$A$2:$A$179,""))</f>
        <v/>
      </c>
      <c r="D139" s="10">
        <f>COUNTIF(Bins!$D$2:$H$179,A139)</f>
        <v/>
      </c>
      <c r="E139" t="inlineStr">
        <is>
          <t>228-2500-109</t>
        </is>
      </c>
    </row>
    <row r="140">
      <c r="A140" t="inlineStr">
        <is>
          <t>2x18 Beam</t>
        </is>
      </c>
      <c r="B140" t="inlineStr">
        <is>
          <t>Beams &amp; Plates</t>
        </is>
      </c>
      <c r="C140" s="10">
        <f t="array" ref="C140">TEXTJOIN(", ",TRUE,IF((Bins!$D$2:$D$179=A140)+(Bins!$E$2:$E$179=A140)+(Bins!$F$2:$F$179=A140)+(Bins!$G$2:$G$179=A140)+(Bins!$H$2:$H$179=A140),Bins!$A$2:$A$179,""))</f>
        <v/>
      </c>
      <c r="D140" s="10">
        <f>COUNTIF(Bins!$D$2:$H$179,A140)</f>
        <v/>
      </c>
      <c r="E140" t="inlineStr">
        <is>
          <t>228-2500-029</t>
        </is>
      </c>
    </row>
    <row r="141">
      <c r="A141" t="inlineStr">
        <is>
          <t>2x20 Beam</t>
        </is>
      </c>
      <c r="B141" t="inlineStr">
        <is>
          <t>Beams &amp; Plates</t>
        </is>
      </c>
      <c r="C141" s="10">
        <f t="array" ref="C141">TEXTJOIN(", ",TRUE,IF((Bins!$D$2:$D$179=A141)+(Bins!$E$2:$E$179=A141)+(Bins!$F$2:$F$179=A141)+(Bins!$G$2:$G$179=A141)+(Bins!$H$2:$H$179=A141),Bins!$A$2:$A$179,""))</f>
        <v/>
      </c>
      <c r="D141" s="10">
        <f>COUNTIF(Bins!$D$2:$H$179,A141)</f>
        <v/>
      </c>
      <c r="E141" t="inlineStr">
        <is>
          <t>228-2500-030, 228-3616-030</t>
        </is>
      </c>
    </row>
    <row r="142">
      <c r="A142" t="inlineStr">
        <is>
          <t>200mm Cable</t>
        </is>
      </c>
      <c r="B142" t="inlineStr">
        <is>
          <t>Cables</t>
        </is>
      </c>
      <c r="C142" s="10">
        <f t="array" ref="C142">TEXTJOIN(", ",TRUE,IF((Bins!$D$2:$D$179=A142)+(Bins!$E$2:$E$179=A142)+(Bins!$F$2:$F$179=A142)+(Bins!$G$2:$G$179=A142)+(Bins!$H$2:$H$179=A142),Bins!$A$2:$A$179,""))</f>
        <v/>
      </c>
      <c r="D142" s="10">
        <f>COUNTIF(Bins!$D$2:$H$179,A142)</f>
        <v/>
      </c>
      <c r="E142" t="inlineStr">
        <is>
          <t>228-2780-001</t>
        </is>
      </c>
    </row>
    <row r="143">
      <c r="A143" t="inlineStr">
        <is>
          <t>300mm Cable</t>
        </is>
      </c>
      <c r="B143" t="inlineStr">
        <is>
          <t>Cables</t>
        </is>
      </c>
      <c r="C143" s="10">
        <f t="array" ref="C143">TEXTJOIN(", ",TRUE,IF((Bins!$D$2:$D$179=A143)+(Bins!$E$2:$E$179=A143)+(Bins!$F$2:$F$179=A143)+(Bins!$G$2:$G$179=A143)+(Bins!$H$2:$H$179=A143),Bins!$A$2:$A$179,""))</f>
        <v/>
      </c>
      <c r="D143" s="10">
        <f>COUNTIF(Bins!$D$2:$H$179,A143)</f>
        <v/>
      </c>
      <c r="E143" t="inlineStr">
        <is>
          <t>228-2780-002</t>
        </is>
      </c>
    </row>
    <row r="144">
      <c r="A144" t="inlineStr">
        <is>
          <t>400mm Cable</t>
        </is>
      </c>
      <c r="B144" t="inlineStr">
        <is>
          <t>Cables</t>
        </is>
      </c>
      <c r="C144" s="10">
        <f t="array" ref="C144">TEXTJOIN(", ",TRUE,IF((Bins!$D$2:$D$179=A144)+(Bins!$E$2:$E$179=A144)+(Bins!$F$2:$F$179=A144)+(Bins!$G$2:$G$179=A144)+(Bins!$H$2:$H$179=A144),Bins!$A$2:$A$179,""))</f>
        <v/>
      </c>
      <c r="D144" s="10">
        <f>COUNTIF(Bins!$D$2:$H$179,A144)</f>
        <v/>
      </c>
      <c r="E144" t="inlineStr">
        <is>
          <t>228-2780-003</t>
        </is>
      </c>
    </row>
    <row r="145">
      <c r="A145" t="inlineStr">
        <is>
          <t>600mm Cable</t>
        </is>
      </c>
      <c r="B145" t="inlineStr">
        <is>
          <t>Cables</t>
        </is>
      </c>
      <c r="C145" s="10">
        <f t="array" ref="C145">TEXTJOIN(", ",TRUE,IF((Bins!$D$2:$D$179=A145)+(Bins!$E$2:$E$179=A145)+(Bins!$F$2:$F$179=A145)+(Bins!$G$2:$G$179=A145)+(Bins!$H$2:$H$179=A145),Bins!$A$2:$A$179,""))</f>
        <v/>
      </c>
      <c r="D145" s="10">
        <f>COUNTIF(Bins!$D$2:$H$179,A145)</f>
        <v/>
      </c>
      <c r="E145" t="inlineStr">
        <is>
          <t>228-2780-004</t>
        </is>
      </c>
    </row>
    <row r="146">
      <c r="A146" t="inlineStr">
        <is>
          <t>USB A-C Cable</t>
        </is>
      </c>
      <c r="B146" t="inlineStr">
        <is>
          <t>Cables</t>
        </is>
      </c>
      <c r="C146" s="10">
        <f t="array" ref="C146">TEXTJOIN(", ",TRUE,IF((Bins!$D$2:$D$179=A146)+(Bins!$E$2:$E$179=A146)+(Bins!$F$2:$F$179=A146)+(Bins!$G$2:$G$179=A146)+(Bins!$H$2:$H$179=A146),Bins!$A$2:$A$179,""))</f>
        <v/>
      </c>
      <c r="D146" s="10">
        <f>COUNTIF(Bins!$D$2:$H$179,A146)</f>
        <v/>
      </c>
      <c r="E146" t="inlineStr">
        <is>
          <t>228-6961-002</t>
        </is>
      </c>
    </row>
    <row r="147">
      <c r="A147" t="inlineStr">
        <is>
          <t>Robot Brain (2nd generation)</t>
        </is>
      </c>
      <c r="B147" t="inlineStr">
        <is>
          <t>Electronics</t>
        </is>
      </c>
      <c r="C147" s="10">
        <f t="array" ref="C147">TEXTJOIN(", ",TRUE,IF((Bins!$D$2:$D$179=A147)+(Bins!$E$2:$E$179=A147)+(Bins!$F$2:$F$179=A147)+(Bins!$G$2:$G$179=A147)+(Bins!$H$2:$H$179=A147),Bins!$A$2:$A$179,""))</f>
        <v/>
      </c>
      <c r="D147" s="10">
        <f>COUNTIF(Bins!$D$2:$H$179,A147)</f>
        <v/>
      </c>
      <c r="E147" t="inlineStr">
        <is>
          <t>228-6480-000</t>
        </is>
      </c>
    </row>
    <row r="148">
      <c r="A148" t="inlineStr">
        <is>
          <t>Controller (2nd Generation)</t>
        </is>
      </c>
      <c r="B148" t="inlineStr">
        <is>
          <t>Electronics</t>
        </is>
      </c>
      <c r="C148" s="10">
        <f t="array" ref="C148">TEXTJOIN(", ",TRUE,IF((Bins!$D$2:$D$179=A148)+(Bins!$E$2:$E$179=A148)+(Bins!$F$2:$F$179=A148)+(Bins!$G$2:$G$179=A148)+(Bins!$H$2:$H$179=A148),Bins!$A$2:$A$179,""))</f>
        <v/>
      </c>
      <c r="D148" s="10">
        <f>COUNTIF(Bins!$D$2:$H$179,A148)</f>
        <v/>
      </c>
      <c r="E148" t="inlineStr">
        <is>
          <t>228-6470-000</t>
        </is>
      </c>
    </row>
    <row r="149">
      <c r="A149" t="inlineStr">
        <is>
          <t>Robot Battery (Li-Ion, 2000 mAh)</t>
        </is>
      </c>
      <c r="B149" t="inlineStr">
        <is>
          <t>Electronics</t>
        </is>
      </c>
      <c r="C149" s="10">
        <f t="array" ref="C149">TEXTJOIN(", ",TRUE,IF((Bins!$D$2:$D$179=A149)+(Bins!$E$2:$E$179=A149)+(Bins!$F$2:$F$179=A149)+(Bins!$G$2:$G$179=A149)+(Bins!$H$2:$H$179=A149),Bins!$A$2:$A$179,""))</f>
        <v/>
      </c>
      <c r="D149" s="10">
        <f>COUNTIF(Bins!$D$2:$H$179,A149)</f>
        <v/>
      </c>
      <c r="E149" t="inlineStr">
        <is>
          <t>228-7045-000</t>
        </is>
      </c>
    </row>
    <row r="150">
      <c r="A150" t="inlineStr">
        <is>
          <t>Smart Motor</t>
        </is>
      </c>
      <c r="B150" t="inlineStr">
        <is>
          <t>Electronics</t>
        </is>
      </c>
      <c r="C150" s="10">
        <f t="array" ref="C150">TEXTJOIN(", ",TRUE,IF((Bins!$D$2:$D$179=A150)+(Bins!$E$2:$E$179=A150)+(Bins!$F$2:$F$179=A150)+(Bins!$G$2:$G$179=A150)+(Bins!$H$2:$H$179=A150),Bins!$A$2:$A$179,""))</f>
        <v/>
      </c>
      <c r="D150" s="10">
        <f>COUNTIF(Bins!$D$2:$H$179,A150)</f>
        <v/>
      </c>
      <c r="E150" t="inlineStr">
        <is>
          <t>228-2560-000</t>
        </is>
      </c>
    </row>
    <row r="151">
      <c r="A151" t="inlineStr">
        <is>
          <t>Bumper Switch</t>
        </is>
      </c>
      <c r="B151" t="inlineStr">
        <is>
          <t>Sensors</t>
        </is>
      </c>
      <c r="C151" s="10">
        <f t="array" ref="C151">TEXTJOIN(", ",TRUE,IF((Bins!$D$2:$D$179=A151)+(Bins!$E$2:$E$179=A151)+(Bins!$F$2:$F$179=A151)+(Bins!$G$2:$G$179=A151)+(Bins!$H$2:$H$179=A151),Bins!$A$2:$A$179,""))</f>
        <v/>
      </c>
      <c r="D151" s="10">
        <f>COUNTIF(Bins!$D$2:$H$179,A151)</f>
        <v/>
      </c>
      <c r="E151" t="inlineStr">
        <is>
          <t>228-2677-000</t>
        </is>
      </c>
    </row>
    <row r="152">
      <c r="A152" t="inlineStr">
        <is>
          <t>Distance Sensor</t>
        </is>
      </c>
      <c r="B152" t="inlineStr">
        <is>
          <t>Sensors</t>
        </is>
      </c>
      <c r="C152" s="10">
        <f t="array" ref="C152">TEXTJOIN(", ",TRUE,IF((Bins!$D$2:$D$179=A152)+(Bins!$E$2:$E$179=A152)+(Bins!$F$2:$F$179=A152)+(Bins!$G$2:$G$179=A152)+(Bins!$H$2:$H$179=A152),Bins!$A$2:$A$179,""))</f>
        <v/>
      </c>
      <c r="D152" s="10">
        <f>COUNTIF(Bins!$D$2:$H$179,A152)</f>
        <v/>
      </c>
      <c r="E152" t="inlineStr">
        <is>
          <t>228-7106-000</t>
        </is>
      </c>
    </row>
    <row r="153">
      <c r="A153" t="inlineStr">
        <is>
          <t>Optical Sensor</t>
        </is>
      </c>
      <c r="B153" t="inlineStr">
        <is>
          <t>Sensors</t>
        </is>
      </c>
      <c r="C153" s="10">
        <f t="array" ref="C153">TEXTJOIN(", ",TRUE,IF((Bins!$D$2:$D$179=A153)+(Bins!$E$2:$E$179=A153)+(Bins!$F$2:$F$179=A153)+(Bins!$G$2:$G$179=A153)+(Bins!$H$2:$H$179=A153),Bins!$A$2:$A$179,""))</f>
        <v/>
      </c>
      <c r="D153" s="10">
        <f>COUNTIF(Bins!$D$2:$H$179,A153)</f>
        <v/>
      </c>
      <c r="E153" t="inlineStr">
        <is>
          <t>228-7082-000</t>
        </is>
      </c>
    </row>
    <row r="154">
      <c r="A154" t="inlineStr">
        <is>
          <t>Touch LED</t>
        </is>
      </c>
      <c r="B154" t="inlineStr">
        <is>
          <t>Sensors</t>
        </is>
      </c>
      <c r="C154" s="10">
        <f t="array" ref="C154">TEXTJOIN(", ",TRUE,IF((Bins!$D$2:$D$179=A154)+(Bins!$E$2:$E$179=A154)+(Bins!$F$2:$F$179=A154)+(Bins!$G$2:$G$179=A154)+(Bins!$H$2:$H$179=A154),Bins!$A$2:$A$179,""))</f>
        <v/>
      </c>
      <c r="D154" s="10">
        <f>COUNTIF(Bins!$D$2:$H$179,A154)</f>
        <v/>
      </c>
      <c r="E154" t="inlineStr">
        <is>
          <t>228-3010-000</t>
        </is>
      </c>
    </row>
    <row r="155">
      <c r="A155" t="inlineStr">
        <is>
          <t>Pin Tool</t>
        </is>
      </c>
      <c r="B155" t="inlineStr">
        <is>
          <t>Pins &amp; Standoffs</t>
        </is>
      </c>
      <c r="C155" s="10">
        <f t="array" ref="C155">TEXTJOIN(", ",TRUE,IF((Bins!$D$2:$D$179=A155)+(Bins!$E$2:$E$179=A155)+(Bins!$F$2:$F$179=A155)+(Bins!$G$2:$G$179=A155)+(Bins!$H$2:$H$179=A155),Bins!$A$2:$A$179,""))</f>
        <v/>
      </c>
      <c r="D155" s="10">
        <f>COUNTIF(Bins!$D$2:$H$179,A155)</f>
        <v/>
      </c>
      <c r="E155" t="inlineStr">
        <is>
          <t>228-4035-000</t>
        </is>
      </c>
    </row>
    <row r="156">
      <c r="A156" t="inlineStr">
        <is>
          <t>1x5 Linear Motion Beam</t>
        </is>
      </c>
      <c r="B156" t="inlineStr">
        <is>
          <t>Linear Motion</t>
        </is>
      </c>
      <c r="C156" s="10">
        <f t="array" ref="C156">TEXTJOIN(", ",TRUE,IF((Bins!$D$2:$D$179=A156)+(Bins!$E$2:$E$179=A156)+(Bins!$F$2:$F$179=A156)+(Bins!$G$2:$G$179=A156)+(Bins!$H$2:$H$179=A156),Bins!$A$2:$A$179,""))</f>
        <v/>
      </c>
      <c r="D156" s="10">
        <f>COUNTIF(Bins!$D$2:$H$179,A156)</f>
        <v/>
      </c>
      <c r="E156" t="inlineStr">
        <is>
          <t>228-2500-1456</t>
        </is>
      </c>
    </row>
    <row r="157">
      <c r="A157" t="inlineStr">
        <is>
          <t>1x6 Linear Motion Beam</t>
        </is>
      </c>
      <c r="B157" t="inlineStr">
        <is>
          <t>Linear Motion</t>
        </is>
      </c>
      <c r="C157" s="10">
        <f t="array" ref="C157">TEXTJOIN(", ",TRUE,IF((Bins!$D$2:$D$179=A157)+(Bins!$E$2:$E$179=A157)+(Bins!$F$2:$F$179=A157)+(Bins!$G$2:$G$179=A157)+(Bins!$H$2:$H$179=A157),Bins!$A$2:$A$179,""))</f>
        <v/>
      </c>
      <c r="D157" s="10">
        <f>COUNTIF(Bins!$D$2:$H$179,A157)</f>
        <v/>
      </c>
      <c r="E157" t="inlineStr">
        <is>
          <t>228-2500-1457</t>
        </is>
      </c>
    </row>
    <row r="158">
      <c r="A158" t="inlineStr">
        <is>
          <t>1x8 Linear Motion Beam</t>
        </is>
      </c>
      <c r="B158" t="inlineStr">
        <is>
          <t>Linear Motion</t>
        </is>
      </c>
      <c r="C158" s="10">
        <f t="array" ref="C158">TEXTJOIN(", ",TRUE,IF((Bins!$D$2:$D$179=A158)+(Bins!$E$2:$E$179=A158)+(Bins!$F$2:$F$179=A158)+(Bins!$G$2:$G$179=A158)+(Bins!$H$2:$H$179=A158),Bins!$A$2:$A$179,""))</f>
        <v/>
      </c>
      <c r="D158" s="10">
        <f>COUNTIF(Bins!$D$2:$H$179,A158)</f>
        <v/>
      </c>
      <c r="E158" t="inlineStr">
        <is>
          <t>228-2500-1459</t>
        </is>
      </c>
    </row>
    <row r="159">
      <c r="A159" t="inlineStr">
        <is>
          <t>1x6 Linear Motion Rack Gear</t>
        </is>
      </c>
      <c r="B159" t="inlineStr">
        <is>
          <t>Linear Motion</t>
        </is>
      </c>
      <c r="C159" s="10">
        <f t="array" ref="C159">TEXTJOIN(", ",TRUE,IF((Bins!$D$2:$D$179=A159)+(Bins!$E$2:$E$179=A159)+(Bins!$F$2:$F$179=A159)+(Bins!$G$2:$G$179=A159)+(Bins!$H$2:$H$179=A159),Bins!$A$2:$A$179,""))</f>
        <v/>
      </c>
      <c r="D159" s="10">
        <f>COUNTIF(Bins!$D$2:$H$179,A159)</f>
        <v/>
      </c>
      <c r="E159" t="inlineStr">
        <is>
          <t>228-2500-1472</t>
        </is>
      </c>
    </row>
    <row r="160">
      <c r="A160" t="inlineStr">
        <is>
          <t>1x6 Continuous Linear Motion Rack Gear</t>
        </is>
      </c>
      <c r="B160" t="inlineStr">
        <is>
          <t>Linear Motion</t>
        </is>
      </c>
      <c r="C160" s="10">
        <f t="array" ref="C160">TEXTJOIN(", ",TRUE,IF((Bins!$D$2:$D$179=A160)+(Bins!$E$2:$E$179=A160)+(Bins!$F$2:$F$179=A160)+(Bins!$G$2:$G$179=A160)+(Bins!$H$2:$H$179=A160),Bins!$A$2:$A$179,""))</f>
        <v/>
      </c>
      <c r="D160" s="10">
        <f>COUNTIF(Bins!$D$2:$H$179,A160)</f>
        <v/>
      </c>
      <c r="E160" t="inlineStr">
        <is>
          <t>228-2500-1473</t>
        </is>
      </c>
    </row>
    <row r="161">
      <c r="A161" t="inlineStr">
        <is>
          <t>1x20 Linear Motion Rack Gear</t>
        </is>
      </c>
      <c r="B161" t="inlineStr">
        <is>
          <t>Linear Motion</t>
        </is>
      </c>
      <c r="C161" s="10">
        <f t="array" ref="C161">TEXTJOIN(", ",TRUE,IF((Bins!$D$2:$D$179=A161)+(Bins!$E$2:$E$179=A161)+(Bins!$F$2:$F$179=A161)+(Bins!$G$2:$G$179=A161)+(Bins!$H$2:$H$179=A161),Bins!$A$2:$A$179,""))</f>
        <v/>
      </c>
      <c r="D161" s="10">
        <f>COUNTIF(Bins!$D$2:$H$179,A161)</f>
        <v/>
      </c>
      <c r="E161" t="inlineStr">
        <is>
          <t>228-2500-1454</t>
        </is>
      </c>
    </row>
    <row r="162">
      <c r="A162" t="inlineStr">
        <is>
          <t>2x Pitch Linear Motion Bracket (Side Mount)</t>
        </is>
      </c>
      <c r="B162" t="inlineStr">
        <is>
          <t>Linear Motion</t>
        </is>
      </c>
      <c r="C162" s="10">
        <f t="array" ref="C162">TEXTJOIN(", ",TRUE,IF((Bins!$D$2:$D$179=A162)+(Bins!$E$2:$E$179=A162)+(Bins!$F$2:$F$179=A162)+(Bins!$G$2:$G$179=A162)+(Bins!$H$2:$H$179=A162),Bins!$A$2:$A$179,""))</f>
        <v/>
      </c>
      <c r="D162" s="10">
        <f>COUNTIF(Bins!$D$2:$H$179,A162)</f>
        <v/>
      </c>
      <c r="E162" t="inlineStr">
        <is>
          <t>228-2500-1469</t>
        </is>
      </c>
    </row>
    <row r="163">
      <c r="A163" t="inlineStr">
        <is>
          <t>1x Pitch Linear Motion Bracket (Snap Mount)</t>
        </is>
      </c>
      <c r="B163" t="inlineStr">
        <is>
          <t>Linear Motion</t>
        </is>
      </c>
      <c r="C163" s="10">
        <f t="array" ref="C163">TEXTJOIN(", ",TRUE,IF((Bins!$D$2:$D$179=A163)+(Bins!$E$2:$E$179=A163)+(Bins!$F$2:$F$179=A163)+(Bins!$G$2:$G$179=A163)+(Bins!$H$2:$H$179=A163),Bins!$A$2:$A$179,""))</f>
        <v/>
      </c>
      <c r="D163" s="10">
        <f>COUNTIF(Bins!$D$2:$H$179,A163)</f>
        <v/>
      </c>
      <c r="E163" t="inlineStr">
        <is>
          <t>228-2500-1470</t>
        </is>
      </c>
    </row>
  </sheetData>
  <autoFilter ref="A1:E163"/>
  <conditionalFormatting sqref="D2:D163">
    <cfRule type="expression" priority="1" dxfId="1">
      <formula>D2=0</formula>
    </cfRule>
    <cfRule type="expression" priority="2" dxfId="0">
      <formula>D2&gt;1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1" t="inlineStr">
        <is>
          <t>Bin assignments — editing sheet for data/parts.json</t>
        </is>
      </c>
    </row>
    <row r="2">
      <c r="A2" t="inlineStr"/>
    </row>
    <row r="3">
      <c r="A3" t="inlineStr">
        <is>
          <t>Bins tab: one row per bin. Type in a Part column; Excel suggests matching part names (arrow keys + Enter to pick).</t>
        </is>
      </c>
    </row>
    <row r="4">
      <c r="A4" t="inlineStr">
        <is>
          <t>Bin Label: what the bin's label/website should say. Leave blank to use the part names.</t>
        </is>
      </c>
    </row>
    <row r="5">
      <c r="A5" t="inlineStr">
        <is>
          <t>To move a part: delete it from its old bin and type it into the new one.</t>
        </is>
      </c>
    </row>
    <row r="6">
      <c r="A6" t="inlineStr">
        <is>
          <t>A part can go in more than one bin (high-volume parts): type it in each bin. The first bin is its main one.</t>
        </is>
      </c>
    </row>
    <row r="7">
      <c r="A7" t="inlineStr">
        <is>
          <t>Light blue cell = that part is in more than one bin — check it's on purpose. Parts tab: red = not placed anywhere.</t>
        </is>
      </c>
    </row>
    <row r="8">
      <c r="A8" t="inlineStr">
        <is>
          <t>Parts that share a bin should share one Bin Label; a part split across bins uses the first bin's label.</t>
        </is>
      </c>
    </row>
    <row r="9">
      <c r="A9" t="inlineStr"/>
    </row>
    <row r="10">
      <c r="A10" t="inlineStr">
        <is>
          <t>When done: save, then run   python3 tools/apply_bin_sheet.py   (preview)</t>
        </is>
      </c>
    </row>
    <row r="11">
      <c r="A11" t="inlineStr">
        <is>
          <t>and         python3 tools/apply_bin_sheet.py --apply   (writes data/parts.json).</t>
        </is>
      </c>
    </row>
    <row r="12">
      <c r="A12" t="inlineStr"/>
    </row>
    <row r="13">
      <c r="A13" t="inlineStr">
        <is>
          <t>Sheet is generated from parts.json by tools/make_bin_sheet.py — regenerating overwrites unapplied edits.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2026-10-09T14:47:59Z</dcterms:created>
  <dcterms:modified xsi:type="dcterms:W3CDTF">2026-10-09T14:47:59Z</dcterms:modified>
</cp:coreProperties>
</file>